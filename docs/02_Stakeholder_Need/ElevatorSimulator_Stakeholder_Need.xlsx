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ThisWorkbook" defaultThemeVersion="202300"/>
  <mc:AlternateContent xmlns:mc="http://schemas.openxmlformats.org/markup-compatibility/2006">
    <mc:Choice Requires="x15">
      <x15ac:absPath xmlns:x15ac="http://schemas.microsoft.com/office/spreadsheetml/2010/11/ac" url="C:\_Dev\_git\ElevatorTrafficSim\docs\02_Stakeholder_Need\"/>
    </mc:Choice>
  </mc:AlternateContent>
  <xr:revisionPtr revIDLastSave="0" documentId="8_{F0A15A8B-A6FE-4F32-9CF9-00FE80B2FE7E}" xr6:coauthVersionLast="47" xr6:coauthVersionMax="47" xr10:uidLastSave="{00000000-0000-0000-0000-000000000000}"/>
  <bookViews>
    <workbookView xWindow="-132" yWindow="-132" windowWidth="23304" windowHeight="14664" activeTab="3" xr2:uid="{1729F798-C1FD-480C-A8AA-CC79E52793C5}"/>
  </bookViews>
  <sheets>
    <sheet name="Documents List" sheetId="8" r:id="rId1"/>
    <sheet name="Mission-Value Statement" sheetId="10" r:id="rId2"/>
    <sheet name="StakeholderAnalysis" sheetId="12" r:id="rId3"/>
    <sheet name="Stakeholder Need" sheetId="2" r:id="rId4"/>
    <sheet name="RTVM" sheetId="1" r:id="rId5"/>
    <sheet name="Phase 1 - Tick_Based_PseudoCode" sheetId="3" r:id="rId6"/>
    <sheet name="Phase 2 - Event_Based_PseudoCod" sheetId="4" r:id="rId7"/>
    <sheet name="Sample Configuration File" sheetId="5" r:id="rId8"/>
    <sheet name="Sample Output File" sheetId="6" r:id="rId9"/>
    <sheet name="Sample Report File" sheetId="7" r:id="rId10"/>
    <sheet name="C# Scaffolding" sheetId="9" r:id="rId11"/>
    <sheet name="Sources" sheetId="11" r:id="rId1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8" i="12" l="1"/>
  <c r="A7" i="12"/>
  <c r="A6" i="12"/>
  <c r="A5" i="12"/>
  <c r="A4" i="12"/>
  <c r="A3" i="12"/>
  <c r="A10" i="8"/>
  <c r="A12" i="8"/>
  <c r="A14" i="8"/>
  <c r="A16" i="8"/>
  <c r="A3" i="8"/>
  <c r="C33" i="10"/>
  <c r="B8" i="10"/>
</calcChain>
</file>

<file path=xl/comments1.xml><?xml version="1.0" encoding="utf-8"?>
<comments xmlns="http://schemas.openxmlformats.org/spreadsheetml/2006/main" xmlns:mc="http://schemas.openxmlformats.org/markup-compatibility/2006" xmlns:xr="http://schemas.microsoft.com/office/spreadsheetml/2014/revision" mc:Ignorable="xr">
  <authors>
    <author>Kyle Simmons</author>
  </authors>
  <commentList>
    <comment ref="B3" authorId="0" shapeId="0" xr:uid="{F8E8B12A-EF0C-4F75-9EF9-055628A77CD5}">
      <text>
        <r>
          <rPr>
            <b/>
            <sz val="9"/>
            <color indexed="81"/>
            <rFont val="Tahoma"/>
            <family val="2"/>
          </rPr>
          <t>Kyle Simmons:</t>
        </r>
        <r>
          <rPr>
            <sz val="9"/>
            <color indexed="81"/>
            <rFont val="Tahoma"/>
            <family val="2"/>
          </rPr>
          <t xml:space="preserve">
Document the mission, value proposition and high‑level objectives as above. Identify stakeholders and their concerns; set measures of success (95th‑percentile and average wait times).</t>
        </r>
      </text>
    </comment>
    <comment ref="C3" authorId="0" shapeId="0" xr:uid="{5340ED1C-B8A5-47D3-A803-BA92A06A75CB}">
      <text>
        <r>
          <rPr>
            <b/>
            <sz val="9"/>
            <color indexed="81"/>
            <rFont val="Tahoma"/>
          </rPr>
          <t>Kyle Simmons:</t>
        </r>
        <r>
          <rPr>
            <sz val="9"/>
            <color indexed="81"/>
            <rFont val="Tahoma"/>
          </rPr>
          <t xml:space="preserve">
Articulate the value proposition for building the simulator. This can later be represented in SysML requirements as high-level objectives or "shall" statements for traceability.
This aligns with the SEBoK, which says that the first Concept‑Definition process is Business or Mission Analysis; its purpose is to define the overall strategic problem or opportunity, identify why the system is needed and what value it will bring, and develop the mission, goals, objectives and measures of success.  </t>
        </r>
      </text>
    </comment>
    <comment ref="C4" authorId="0" shapeId="0" xr:uid="{C1D958D5-B5F0-4C59-BA5D-290397FCD8FA}">
      <text>
        <r>
          <rPr>
            <b/>
            <sz val="9"/>
            <color indexed="81"/>
            <rFont val="Tahoma"/>
          </rPr>
          <t>Kyle Simmons:</t>
        </r>
        <r>
          <rPr>
            <sz val="9"/>
            <color indexed="81"/>
            <rFont val="Tahoma"/>
          </rPr>
          <t xml:space="preserve">
Identify who will benefit, and determine the business or research questions that the simulator must answer. SEBoK points out that this mission analysis step should also define the high‑level goals, objectives and measures that will be used to judge success.</t>
        </r>
      </text>
    </comment>
    <comment ref="B10" authorId="0" shapeId="0" xr:uid="{7712E427-8ED4-466A-8518-024A753F8481}">
      <text>
        <r>
          <rPr>
            <b/>
            <sz val="9"/>
            <color indexed="81"/>
            <rFont val="Tahoma"/>
            <family val="2"/>
          </rPr>
          <t>Kyle Simmons:</t>
        </r>
        <r>
          <rPr>
            <sz val="9"/>
            <color indexed="81"/>
            <rFont val="Tahoma"/>
            <family val="2"/>
          </rPr>
          <t xml:space="preserve">
Translate stakeholder concerns into needs (e.g., ability to vary elevator count, need to log and analyse performance). Capture these needs in high‑level SysML requirements.</t>
        </r>
      </text>
    </comment>
    <comment ref="C10" authorId="0" shapeId="0" xr:uid="{98219681-D9C0-412C-A0BC-4901CEF1A63A}">
      <text>
        <r>
          <rPr>
            <b/>
            <sz val="9"/>
            <color indexed="81"/>
            <rFont val="Tahoma"/>
          </rPr>
          <t>Kyle Simmons:</t>
        </r>
        <r>
          <rPr>
            <sz val="9"/>
            <color indexed="81"/>
            <rFont val="Tahoma"/>
          </rPr>
          <t xml:space="preserve">
capture stakeholder needs (what capabilities each group expects from the simulator), then derive system requirements from those needs.</t>
        </r>
      </text>
    </comment>
    <comment ref="B12" authorId="0" shapeId="0" xr:uid="{2802E53E-E36E-4A97-9801-43CD484101B4}">
      <text>
        <r>
          <rPr>
            <b/>
            <sz val="9"/>
            <color indexed="81"/>
            <rFont val="Tahoma"/>
            <family val="2"/>
          </rPr>
          <t>Kyle Simmons:</t>
        </r>
        <r>
          <rPr>
            <sz val="9"/>
            <color indexed="81"/>
            <rFont val="Tahoma"/>
            <family val="2"/>
          </rPr>
          <t xml:space="preserve">
Derive detailed functional, performance, interface and quality requirements from the needs; ensure traceability between each requirement and the stakeholder need or mission objective.</t>
        </r>
      </text>
    </comment>
    <comment ref="C12" authorId="0" shapeId="0" xr:uid="{38C80CF5-96CD-4277-B6D6-97FDD318B1B4}">
      <text>
        <r>
          <rPr>
            <b/>
            <sz val="9"/>
            <color indexed="81"/>
            <rFont val="Tahoma"/>
          </rPr>
          <t>Kyle Simmons:</t>
        </r>
        <r>
          <rPr>
            <sz val="9"/>
            <color indexed="81"/>
            <rFont val="Tahoma"/>
          </rPr>
          <t xml:space="preserve">
Measurable objectives &amp; Requirements for the system.</t>
        </r>
      </text>
    </comment>
    <comment ref="B14" authorId="0" shapeId="0" xr:uid="{A70C4141-049E-4B47-AAA3-79C91E06F758}">
      <text>
        <r>
          <rPr>
            <b/>
            <sz val="9"/>
            <color indexed="81"/>
            <rFont val="Tahoma"/>
            <family val="2"/>
          </rPr>
          <t>Kyle Simmons:</t>
        </r>
        <r>
          <rPr>
            <sz val="9"/>
            <color indexed="81"/>
            <rFont val="Tahoma"/>
            <family val="2"/>
          </rPr>
          <t xml:space="preserve">
Develop SysML use‑case diagrams showing actors (passengers and simulation operator) and their interactions; block definition diagrams illustrating the separation of PassengerController, ElevatorController, Building, Elevator and Person classes; internal block diagrams showing how the controllers communicate via events.</t>
        </r>
      </text>
    </comment>
    <comment ref="C14" authorId="0" shapeId="0" xr:uid="{876570AD-37B1-4F49-B203-5A930E3E42AC}">
      <text>
        <r>
          <rPr>
            <b/>
            <sz val="9"/>
            <color indexed="81"/>
            <rFont val="Tahoma"/>
          </rPr>
          <t>Kyle Simmons:</t>
        </r>
        <r>
          <rPr>
            <sz val="9"/>
            <color indexed="81"/>
            <rFont val="Tahoma"/>
          </rPr>
          <t xml:space="preserve">
SysML requirements diagrams can be used to represent mission statements, goals and stakeholder needs formally, and later define functional, performance and interface requirements</t>
        </r>
      </text>
    </comment>
    <comment ref="B16" authorId="0" shapeId="0" xr:uid="{B663005B-5EF7-4702-9422-60813AAE6F3C}">
      <text>
        <r>
          <rPr>
            <b/>
            <sz val="9"/>
            <color indexed="81"/>
            <rFont val="Tahoma"/>
            <family val="2"/>
          </rPr>
          <t>Kyle Simmons:</t>
        </r>
        <r>
          <rPr>
            <sz val="9"/>
            <color indexed="81"/>
            <rFont val="Tahoma"/>
            <family val="2"/>
          </rPr>
          <t xml:space="preserve">
Use UML class diagrams to define classes, attributes, operations and relationships; prepare code scaffolding (as outlined previously) to separate the simulation core from I/O and future GUI.</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Kyle Simmons</author>
  </authors>
  <commentList>
    <comment ref="B1" authorId="0" shapeId="0" xr:uid="{898B387B-0BB6-4799-A90F-571170310CB3}">
      <text>
        <r>
          <rPr>
            <b/>
            <sz val="9"/>
            <color indexed="81"/>
            <rFont val="Tahoma"/>
            <charset val="1"/>
          </rPr>
          <t>Kyle Simmons:</t>
        </r>
        <r>
          <rPr>
            <sz val="9"/>
            <color indexed="81"/>
            <rFont val="Tahoma"/>
            <charset val="1"/>
          </rPr>
          <t xml:space="preserve">
(Each need above is intended to map to one or more high-level requirements in the SysML model. The tags like SN-1, SN-2, etc., will be used for traceability so we can link each requirement back to the stakeholder need it satisfies.)</t>
        </r>
      </text>
    </comment>
  </commentList>
</comments>
</file>

<file path=xl/sharedStrings.xml><?xml version="1.0" encoding="utf-8"?>
<sst xmlns="http://schemas.openxmlformats.org/spreadsheetml/2006/main" count="621" uniqueCount="542">
  <si>
    <t>For each trial, the number of elevators is fixed.</t>
  </si>
  <si>
    <t>The next 10 stories are business offices that work standard 9-5 hours.</t>
  </si>
  <si>
    <t xml:space="preserve">From the 6th floor to the 20th floor are business offices, where peak traffic up the elevators would be between 8-9am, and peak traffic down would be between 5pm - 6pm weekdays. </t>
  </si>
  <si>
    <t>The 21st to 40th floor are apartments where people consistently leave and arrive throughout the day, with peak traffic going down between 7am - 8am weekdays, and peak traffic going up between 6pm-7pm weekdays.</t>
  </si>
  <si>
    <t>During peak traffic in all 3 groups, people arrive at random intervals.</t>
  </si>
  <si>
    <t>Variables should be provided to experiment with the impact of how many people go up or down with each group.</t>
  </si>
  <si>
    <t>The goal of the simulation is to study the wait times for people throughout the day, for each particular day.</t>
  </si>
  <si>
    <t>model the behavior of each individual person as discrete agents</t>
  </si>
  <si>
    <t>No GUI is required, only terse reporting output to the console output and verbose logging is required to an external file (JSON, XML, or CSV).</t>
  </si>
  <si>
    <t>The config file should include separate toggles for console output ("No Output", "Terse", "Verbose") and external file logging ("No Output", "Verbose")</t>
  </si>
  <si>
    <t>The config file should include a variable for the path and filename for the external logging file.</t>
  </si>
  <si>
    <t>Building Class</t>
  </si>
  <si>
    <t>Simulates people traversing the levels of a skyscraper via a set of elevators</t>
  </si>
  <si>
    <t>The number of floors can be configured for each trial. (6 Elevators by default)</t>
  </si>
  <si>
    <t>The distribution of floor types can be set in the config file for each trial</t>
  </si>
  <si>
    <t>Requirements will be defined via SysML</t>
  </si>
  <si>
    <t>Classes and system architecture will be defined via UML</t>
  </si>
  <si>
    <t>Stakeholder</t>
  </si>
  <si>
    <t>Architects</t>
  </si>
  <si>
    <t xml:space="preserve"> Simulate multiple elevators serving requests concurrently (no lost or duplicate requests), handle random passenger arrivals on all floors, and transport them to target floors. Ensure no two elevators serve the same request and all passengers eventually reach their destination.</t>
  </si>
  <si>
    <t>Aim for reasonable wait times (e.g. average wait under 60s) and simulate a full day within a practical runtime. Support a high-level time-step or event rate (e.g. 1-second ticks) without performance issues (console output at 1 Hz or higher).</t>
  </si>
  <si>
    <t>The system shall simulate elevator movements across various floors of a skyscraper (default 40 stories tall)</t>
  </si>
  <si>
    <t>We also capture constraints (e.g. elevator capacity if any, or speed ~ say 1 floor/sec). This upfront modeling ensures all stakeholder expectations (e.g. building managers’ interest in wait times) are documented before coding.</t>
  </si>
  <si>
    <t>Elevators will track current passengers, destinations, and states, logging all new events as necessary to the output log file and, if configured, the console.</t>
  </si>
  <si>
    <t>Elevator states include idle, register called floor, begin moving, moving between floors, slow to stop, opening doors, delay doors open, detect passenger entry, register passenger request to destination array, close doors.</t>
  </si>
  <si>
    <t>idle</t>
  </si>
  <si>
    <t>When the elevator is sitting at a floor with the doors closed. No calls are registered and no destinations registers</t>
  </si>
  <si>
    <t>register called floor</t>
  </si>
  <si>
    <t>Elevator Class (one instance per elevator)</t>
  </si>
  <si>
    <t>Response to the elevator manager passing a passenger's call. This registers the destination floor in the elevator's motion manifest.</t>
  </si>
  <si>
    <t>begin moving</t>
  </si>
  <si>
    <t>Accelerate from 0 to full speed in the distance of 1 floor</t>
  </si>
  <si>
    <t>moving between floors</t>
  </si>
  <si>
    <t>Constant top speed of the elevator</t>
  </si>
  <si>
    <t>slow to stop</t>
  </si>
  <si>
    <t>Decelerate from full speed to full stop in the distance of 1 floor</t>
  </si>
  <si>
    <t>Open doors</t>
  </si>
  <si>
    <t>Delay doors open</t>
  </si>
  <si>
    <t>A delay duration for the time it takes for the doors to open. (This time is to be accumulated in each passenger's total travel time)</t>
  </si>
  <si>
    <t>A delay duration for the time the doors remain open before starting to close. If a passenger is detected, the timer starts over. (This time is to be accumulated in each passenger's total travel time)</t>
  </si>
  <si>
    <t>detect passenger entry/exit</t>
  </si>
  <si>
    <t xml:space="preserve">When a passenger leaves or enters the elevator, the delay doors open timer starts over.  </t>
  </si>
  <si>
    <t xml:space="preserve">Passengers queue to board the elevator based on a first-in-first-on basis. Each passenger takes 1 second to board the elevator. Therefor, at each passenger boarding event, 1 second passes for the elevator and all passengers, boarded or not </t>
  </si>
  <si>
    <t>Passengers exit the elevator in the reverse order they got on board. Each passenger takes 0.5 seconds to exit the elevator. Therefor, at each passenger exit, 0.5 seconds pass for the elevator and all passengers remaining, and any passengers boarding.</t>
  </si>
  <si>
    <t>register passenger request to destination array</t>
  </si>
  <si>
    <t xml:space="preserve">Add each passenger's destination to an array for the elevator to track it's movements. </t>
  </si>
  <si>
    <t>close doors</t>
  </si>
  <si>
    <t>A delay duration for the time it take for the doors to close. This time is to be accumulated in each passenger's total travel time.</t>
  </si>
  <si>
    <t>Each elevator will have a queue of pointers to the passengers who are onboard the vehicle.</t>
  </si>
  <si>
    <t>At spawn, each person object is assigned a separate building purpose (a. resident, b. office employee, c. shopper).</t>
  </si>
  <si>
    <t xml:space="preserve"> At spawn, each person object is assigned a randomized expected duration of stay based on their building purpose. The building purpose would determine the range within which their stay would fit. For example, most employees would stay between 8-10 hours.</t>
  </si>
  <si>
    <t xml:space="preserve">The Occupant Manager generates new Person Class instances at random intervals based on arrival criteria in the Config file. This randomization is based on expected throughput metrics for the building. </t>
  </si>
  <si>
    <t>The class will include an array of all building occupants. Occupants are all of the people who were in the building at some point during the trial, whether they started in the building and left (residents) only to return later, or arrived at the building (employees or shoppers) and left later in the day. Newly generated occupants will persist through to the end of the trial.</t>
  </si>
  <si>
    <t>The elevator will follow a regular sequence of operations based on the states above.</t>
  </si>
  <si>
    <t>As each state progresses, it will inform all occupants, or passengers waiting in the lobby of the state, allowing timing updates for all passengers.</t>
  </si>
  <si>
    <t>The Occupant Manager will follow a sequence to generate passengers based on percentages throuhgout the day, such as residents leaving in the morning, employees arriving, then shoppers arriving and leaving, followed by employees leaving, and residents arriving. Since these would be randomly generated cases, there is an expectation of overlap between classes.</t>
  </si>
  <si>
    <t>The Person Class will follow a sequence to arrive, call the elevator, get on the first available elevator, ride the elevator to their destination, leave the elevator, remain on the floor for their alloted duration, then call the elevator again, ride the elevator to their next destination (exit?) and then leave.</t>
  </si>
  <si>
    <t>The building class maintains a queue for each floor representing the passengers who have arrived to call the elevator.</t>
  </si>
  <si>
    <t>Occupant Class</t>
  </si>
  <si>
    <t>Occupant Manager Class</t>
  </si>
  <si>
    <r>
      <t xml:space="preserve">“Call Elevator” - Interacts with the </t>
    </r>
    <r>
      <rPr>
        <b/>
        <sz val="11"/>
        <color theme="1"/>
        <rFont val="Aptos Narrow"/>
        <family val="2"/>
        <scheme val="minor"/>
      </rPr>
      <t>Elevator System</t>
    </r>
    <r>
      <rPr>
        <sz val="11"/>
        <color theme="1"/>
        <rFont val="Aptos Narrow"/>
        <family val="2"/>
        <scheme val="minor"/>
      </rPr>
      <t xml:space="preserve"> by pressing a call button (or in this sim, by arriving and requesting service).</t>
    </r>
  </si>
  <si>
    <t>Each occupant has a unique identifier.</t>
  </si>
  <si>
    <t>Simulation Operator</t>
  </si>
  <si>
    <t>loads a config file</t>
  </si>
  <si>
    <t xml:space="preserve">“Configure Simulation”  </t>
  </si>
  <si>
    <t>an actor (the user of the simulator) who starts the simulation and monitors output. This actor ensures the sim runs correctly but does not directly affect elevator logic.</t>
  </si>
  <si>
    <t>“Start/Stop Simlation”</t>
  </si>
  <si>
    <t>“View Results”</t>
  </si>
  <si>
    <t>Elevator Control System (Singleton)</t>
  </si>
  <si>
    <t>representing the physical elevator car (position, movement, capacity).</t>
  </si>
  <si>
    <r>
      <t>Elevator</t>
    </r>
    <r>
      <rPr>
        <sz val="11"/>
        <color theme="1"/>
        <rFont val="Aptos Narrow"/>
        <family val="2"/>
        <scheme val="minor"/>
      </rPr>
      <t xml:space="preserve"> </t>
    </r>
  </si>
  <si>
    <t>I/O Module</t>
  </si>
  <si>
    <t>handles reading the configuration file and writing logs.</t>
  </si>
  <si>
    <r>
      <t>Console Interface</t>
    </r>
    <r>
      <rPr>
        <sz val="11"/>
        <color theme="1"/>
        <rFont val="Aptos Narrow"/>
        <family val="2"/>
        <scheme val="minor"/>
      </rPr>
      <t xml:space="preserve"> </t>
    </r>
  </si>
  <si>
    <t xml:space="preserve">Attributes: </t>
  </si>
  <si>
    <t>Type (enum or string)</t>
  </si>
  <si>
    <t>arrivalTime</t>
  </si>
  <si>
    <t>pickupTime/dropoffTime to calculate wait and travel durations</t>
  </si>
  <si>
    <t xml:space="preserve">Represents an agent (Resident, OfficeWorer, or Shopper) requesting to Ride Elevator to Destination. Each passenger expects to be picked up and delivered to their target floor. </t>
  </si>
  <si>
    <t>Each Person enters the simulation at arrivalTime and will request an elevator to go from origin to destination.</t>
  </si>
  <si>
    <t>Attributes</t>
  </si>
  <si>
    <t>ID</t>
  </si>
  <si>
    <t>currentFloor</t>
  </si>
  <si>
    <t>direction</t>
  </si>
  <si>
    <t>up, down, idle</t>
  </si>
  <si>
    <t>capacity</t>
  </si>
  <si>
    <t>configurable in the config file. Default 10 persons</t>
  </si>
  <si>
    <t>List of target floors</t>
  </si>
  <si>
    <t>Functions</t>
  </si>
  <si>
    <t>UpdatePosition(deltaTime)</t>
  </si>
  <si>
    <t>OpenDoor()</t>
  </si>
  <si>
    <t>CloseDoor()</t>
  </si>
  <si>
    <t>AssignPickup(floor&lt;int&gt;)</t>
  </si>
  <si>
    <t>MoveToFloor(floor&lt;int&gt;)</t>
  </si>
  <si>
    <t>Request/Call</t>
  </si>
  <si>
    <r>
      <t xml:space="preserve">a simple data structure to represent an elevator request (origin floor, desired destination). In a basic implementation the Person itself can be the request (with its origin/destination), but a separate </t>
    </r>
    <r>
      <rPr>
        <sz val="10"/>
        <color theme="1"/>
        <rFont val="Arial Unicode MS"/>
      </rPr>
      <t>ElevatorRequest</t>
    </r>
    <r>
      <rPr>
        <sz val="11"/>
        <color theme="1"/>
        <rFont val="Aptos Narrow"/>
        <family val="2"/>
        <scheme val="minor"/>
      </rPr>
      <t xml:space="preserve"> class could be useful to decouple person generation from elevator logic.</t>
    </r>
  </si>
  <si>
    <t>handles logging of simulation events and stats to files, similar to the coaster simulator’s logger. It may provide methods to log an event (e.g. pickup/dropoff) as a CSV line, and to output summary statistics at the end. This keeps I/O separate from core logic.</t>
  </si>
  <si>
    <t>Encapsulates the collection of Floor objects, elevator objects, and possibly global properties (total floors, floor group ranges) for each trial</t>
  </si>
  <si>
    <r>
      <t>ElevatorController</t>
    </r>
    <r>
      <rPr>
        <sz val="11"/>
        <color theme="1"/>
        <rFont val="Aptos Narrow"/>
        <family val="2"/>
        <scheme val="minor"/>
      </rPr>
      <t xml:space="preserve"> has association to all Elevators and accesses Building/Floors</t>
    </r>
  </si>
  <si>
    <t xml:space="preserve">Orchestrates the behavior of all elevators by queueing elevator requests, decides which elevator serves each request, and updates elevator positions each tick. </t>
  </si>
  <si>
    <r>
      <t>Person</t>
    </r>
    <r>
      <rPr>
        <sz val="11"/>
        <color theme="1"/>
        <rFont val="Aptos Narrow"/>
        <family val="2"/>
        <scheme val="minor"/>
      </rPr>
      <t xml:space="preserve"> is associated with a Floor (origin and destination) and with an Elevator once on board</t>
    </r>
  </si>
  <si>
    <t>Floors are a struct that contains two queues</t>
  </si>
  <si>
    <t>Floors 1-5 of the building are stores, shops, and services similar to those found in a shopping mall. People would access these floors during typical open hours between 10am - 6pm every day, including weekends.</t>
  </si>
  <si>
    <t>The ground floor is the lobby, and only handles occupants entering and leaving the building. In a real building, this would be referred to as "G". In the array of floors in code, this is index 0.</t>
  </si>
  <si>
    <t>Occupants on the floor who are idle</t>
  </si>
  <si>
    <t>Occupants on the floor who are waiting for an elevator</t>
  </si>
  <si>
    <t>Elevator handles movement mechanics, while ElevatorController handles decision logic – making the system modular and extensible for future changes.</t>
  </si>
  <si>
    <r>
      <t xml:space="preserve">This core runs the simulation loop and updates the state of elevators and people over time. It </t>
    </r>
    <r>
      <rPr>
        <i/>
        <sz val="11"/>
        <color theme="1"/>
        <rFont val="Aptos Narrow"/>
        <family val="2"/>
        <scheme val="minor"/>
      </rPr>
      <t>does not depend on any UI or display</t>
    </r>
    <r>
      <rPr>
        <sz val="11"/>
        <color theme="1"/>
        <rFont val="Aptos Narrow"/>
        <family val="2"/>
        <scheme val="minor"/>
      </rPr>
      <t xml:space="preserve">; it could run “headless” (no console) if needed. This decoupling follows the </t>
    </r>
    <r>
      <rPr>
        <i/>
        <sz val="11"/>
        <color theme="1"/>
        <rFont val="Aptos Narrow"/>
        <family val="2"/>
        <scheme val="minor"/>
      </rPr>
      <t>“Decoupled Simulation Model”</t>
    </r>
    <r>
      <rPr>
        <sz val="11"/>
        <color theme="1"/>
        <rFont val="Aptos Narrow"/>
        <family val="2"/>
        <scheme val="minor"/>
      </rPr>
      <t xml:space="preserve"> approach, meaning the computation of the simulation proceeds independently of how results are shown.</t>
    </r>
  </si>
  <si>
    <t>Output: a simple UI block for textual output (in this scenario, part of I/O or core).</t>
  </si>
  <si>
    <t>Input: a simple UI block to reload configuration file and trigger simulation start</t>
  </si>
  <si>
    <t>The config file includes a variable to set the number of trials to run in the simulation.</t>
  </si>
  <si>
    <t>Function</t>
  </si>
  <si>
    <t>ReloadConfig:</t>
  </si>
  <si>
    <t>Reads the designated config file and sets variables based on those values. Reports the values to the screen.</t>
  </si>
  <si>
    <t>StartSimulation:</t>
  </si>
  <si>
    <t>Reports the config values to the screen and pauses, prompting the user to press Enter to continue or ESC to quit. When the user presses enter, it runs the simulation based on the configured parameters.</t>
  </si>
  <si>
    <r>
      <t xml:space="preserve">The console output acts as the </t>
    </r>
    <r>
      <rPr>
        <b/>
        <sz val="11"/>
        <color theme="1"/>
        <rFont val="Aptos Narrow"/>
        <family val="2"/>
        <scheme val="minor"/>
      </rPr>
      <t>View</t>
    </r>
    <r>
      <rPr>
        <sz val="11"/>
        <color theme="1"/>
        <rFont val="Aptos Narrow"/>
        <family val="2"/>
        <scheme val="minor"/>
      </rPr>
      <t>, showing text like “Time 12:00:05 – Elevator 3 picks up 2 shoppers at Floor 1”.</t>
    </r>
  </si>
  <si>
    <t>// Pseudo-code for main simulation loop (simplified)</t>
  </si>
  <si>
    <t>Time currentTime = 0;</t>
  </si>
  <si>
    <t>while (currentTime &lt; SimulationEndTime) {</t>
  </si>
  <si>
    <t xml:space="preserve">    // 1. Generate new arrivals at this time</t>
  </si>
  <si>
    <t xml:space="preserve">    foreach (Person person in PeopleArrivingAt(currentTime)) {</t>
  </si>
  <si>
    <t xml:space="preserve">        Floor origin = Building.GetFloor(person.originFloor);</t>
  </si>
  <si>
    <t xml:space="preserve">        origin.WaitQueue.Add(person);</t>
  </si>
  <si>
    <t xml:space="preserve">        Logger.Log($"{currentTime}: Person#{person.Id} (Type={person.Type}) arrived at Floor {person.originFloor}");</t>
  </si>
  <si>
    <t xml:space="preserve">    }</t>
  </si>
  <si>
    <t xml:space="preserve">    // 2. Dispatch elevators to waiting requests if available</t>
  </si>
  <si>
    <t xml:space="preserve">    foreach (Elevator elev in Elevators) {</t>
  </si>
  <si>
    <t xml:space="preserve">        if (elev.IsIdle &amp;&amp; there are pending requests) {</t>
  </si>
  <si>
    <t xml:space="preserve">            ElevatorRequest nextReq = SelectNextRequest(); </t>
  </si>
  <si>
    <t xml:space="preserve">            elev.AssignPickup(nextReq.originFloor);</t>
  </si>
  <si>
    <t xml:space="preserve">            elev.TargetFloor = nextReq.destFloor;</t>
  </si>
  <si>
    <t xml:space="preserve">            Logger.Log($"{currentTime}: Elevator{elev.Id} assigned to pick up at Floor {nextReq.originFloor}, destined for Floor {nextReq.destFloor}");</t>
  </si>
  <si>
    <t xml:space="preserve">        }</t>
  </si>
  <si>
    <t xml:space="preserve">    // 3. Move each elevator one step toward its target (if any)</t>
  </si>
  <si>
    <t xml:space="preserve">        elev.UpdatePosition(deltaTime: 1);  // move by one floor per tick, for example</t>
  </si>
  <si>
    <t xml:space="preserve">        if (elev.ReachedFloor(elev.TargetFloor)) {</t>
  </si>
  <si>
    <t xml:space="preserve">            // Arrived at target floor</t>
  </si>
  <si>
    <t xml:space="preserve">            elev.OpenDoor();</t>
  </si>
  <si>
    <t xml:space="preserve">            HandleDropOffsAndPickups(elev);  // people exit/enter</t>
  </si>
  <si>
    <t xml:space="preserve">            elev.CloseDoor();</t>
  </si>
  <si>
    <t xml:space="preserve">            elev.ClearTarget();  // mark elevator free or set next target if queued</t>
  </si>
  <si>
    <t xml:space="preserve">            Logger.Log($"{currentTime}: Elevator{elev.Id} arrived at Floor {elev.CurrentFloor}, completed request");</t>
  </si>
  <si>
    <t xml:space="preserve">    currentTime += 1; // advance simulation clock 1 sec</t>
  </si>
  <si>
    <t>}</t>
  </si>
  <si>
    <t>When an Occupant calls the elevator, the ECS calculates the closest elevator to serve that Occupant, and then calls "AssignPickup(floor)" to that elevator. If two or more elevators are equally closest, then the elevator in motion will be assigned. If two or more elevators are in motion and equally closest, the first one checked will be assigned. Otherwise, the first idle elevator will be assigned.</t>
  </si>
  <si>
    <t>destinationFloor</t>
  </si>
  <si>
    <t>direction = (destinationFloor &gt; currentFloor)? 1 : -1</t>
  </si>
  <si>
    <t>Method</t>
  </si>
  <si>
    <t>getOnElevator</t>
  </si>
  <si>
    <t>for all elevators, if the direction of the elevator is the same as self.direction &amp;&amp; doors are open &amp;&amp; elevator.passengerCount &lt; elevator.Capacity, get on the elevator</t>
  </si>
  <si>
    <t>passengerManifest</t>
  </si>
  <si>
    <t>stopManifest</t>
  </si>
  <si>
    <r>
      <t xml:space="preserve">In this pseudo-code, </t>
    </r>
    <r>
      <rPr>
        <sz val="10"/>
        <color theme="1"/>
        <rFont val="Arial Unicode MS"/>
      </rPr>
      <t>PeopleArrivingAt(t)</t>
    </r>
    <r>
      <rPr>
        <sz val="11"/>
        <color theme="1"/>
        <rFont val="Aptos Narrow"/>
        <family val="2"/>
        <scheme val="minor"/>
      </rPr>
      <t xml:space="preserve"> yields any new Person whose arrivalTime equals the current simulation time (these would be pre-generated or generated on the fly according to some random distribution per floor and per agent type). We add them to the respective floor’s waiting queue and log the arrival. Then, for each idle elevator, we assign it to a waiting request (for simplicity, perhaps the longest-waiting request or the lowest floor waiting). This uses a basic </t>
    </r>
    <r>
      <rPr>
        <b/>
        <sz val="11"/>
        <color theme="1"/>
        <rFont val="Aptos Narrow"/>
        <family val="2"/>
        <scheme val="minor"/>
      </rPr>
      <t>dispatch strategy</t>
    </r>
    <r>
      <rPr>
        <sz val="11"/>
        <color theme="1"/>
        <rFont val="Aptos Narrow"/>
        <family val="2"/>
        <scheme val="minor"/>
      </rPr>
      <t xml:space="preserve"> – in scenario 1, it could be first-come-first-served or nearest-car (we can refine this later). Next, each elevator is moved toward its target floor. When an elevator reaches a floor, we simulate </t>
    </r>
    <r>
      <rPr>
        <b/>
        <sz val="11"/>
        <color theme="1"/>
        <rFont val="Aptos Narrow"/>
        <family val="2"/>
        <scheme val="minor"/>
      </rPr>
      <t>door operations</t>
    </r>
    <r>
      <rPr>
        <sz val="11"/>
        <color theme="1"/>
        <rFont val="Aptos Narrow"/>
        <family val="2"/>
        <scheme val="minor"/>
      </rPr>
      <t xml:space="preserve"> and allow passengers to enter or exit. We log events like pick-ups (“Elevator 2 picked up 3 people at Floor 1”) and drop-offs (“2 people exited at Floor 10”). The loop continues until the simulation end time, or until no more events.</t>
    </r>
  </si>
  <si>
    <r>
      <t xml:space="preserve">This logic can also be implemented in an </t>
    </r>
    <r>
      <rPr>
        <b/>
        <sz val="11"/>
        <color theme="1"/>
        <rFont val="Aptos Narrow"/>
        <family val="2"/>
        <scheme val="minor"/>
      </rPr>
      <t>event-driven</t>
    </r>
    <r>
      <rPr>
        <sz val="11"/>
        <color theme="1"/>
        <rFont val="Aptos Narrow"/>
        <family val="2"/>
        <scheme val="minor"/>
      </rPr>
      <t xml:space="preserve"> manner using a priority queue of events (person arrival events, elevator arrival events, etc.), which can be more efficient. However, the time-step approach is easier to start with. Importantly, the simulation loop is managed by the ElevatorController (SimulationCore) and runs independently of any UI – it could run faster or slower than real time as needed, since no UI timing is tying it down. For example, we might simulate an 8-hour day in a few seconds of real time if desired, by iterating quickly.</t>
    </r>
  </si>
  <si>
    <t xml:space="preserve">Residents </t>
  </si>
  <si>
    <t>The Occupant class will be an abstract class (UDT) to allow customized properties for type and desired behavior in derived classes</t>
  </si>
  <si>
    <t xml:space="preserve">might have a probability distribution to leave their apartments in the morning and return in the evening, </t>
  </si>
  <si>
    <t xml:space="preserve">OfficeWorkers </t>
  </si>
  <si>
    <t>cluster around 9 AM and 5 PM</t>
  </si>
  <si>
    <t xml:space="preserve">Shoppers arrive sporadically throughout the day. </t>
  </si>
  <si>
    <t>The OMC generates an occupant-derived object based on the time of day and a random distribution curve (poisson) for each type's probability. The simulation controller doesn’t need to know these details; it just processes whatever arrivals come.</t>
  </si>
  <si>
    <t>Distribution curves for each occupant data type arrival time and departure time (duration of stay) is defined in the config file.</t>
  </si>
  <si>
    <t>AssignFloor()</t>
  </si>
  <si>
    <t>Calls the "AssignFloor()" at spawn for each occupant to set the target floor</t>
  </si>
  <si>
    <t xml:space="preserve">Calls the "SetDuration()" at spawn for each occupant to set the length of stay. </t>
  </si>
  <si>
    <t>SetDuration()</t>
  </si>
  <si>
    <t>Randomly sets the target floor for itself based on it's occupant type. Floor ranges for each derived type are defined in the config file.</t>
  </si>
  <si>
    <t>Middle floors (defined in config file - defaults 5 - 20)</t>
  </si>
  <si>
    <t>Upper floors (defined in config file - default 21 - 40)</t>
  </si>
  <si>
    <t>Lower floors (defined in config file - default 1 - 4)</t>
  </si>
  <si>
    <t>Logger.Log()</t>
  </si>
  <si>
    <t>Records events</t>
  </si>
  <si>
    <t>AVG wait time overall</t>
  </si>
  <si>
    <t>AVG wait time per class</t>
  </si>
  <si>
    <t>Max queue length per floor</t>
  </si>
  <si>
    <t>Frequency of elevators reaching Capacity</t>
  </si>
  <si>
    <t>avgWaitTimeOverall</t>
  </si>
  <si>
    <t>avgWaitTimeClass</t>
  </si>
  <si>
    <t>maxQ_Floor</t>
  </si>
  <si>
    <t>maxCapacity_Elevator</t>
  </si>
  <si>
    <t>elevatorUse</t>
  </si>
  <si>
    <t>Elevator Utilization (%) per elevator (total 100%)</t>
  </si>
  <si>
    <t>displayReport</t>
  </si>
  <si>
    <t>Post a report to the console with all analysis data</t>
  </si>
  <si>
    <r>
      <t xml:space="preserve">We use </t>
    </r>
    <r>
      <rPr>
        <b/>
        <sz val="11"/>
        <color theme="1"/>
        <rFont val="Aptos Narrow"/>
        <family val="2"/>
        <scheme val="minor"/>
      </rPr>
      <t>JSON</t>
    </r>
    <r>
      <rPr>
        <sz val="11"/>
        <color theme="1"/>
        <rFont val="Aptos Narrow"/>
        <family val="2"/>
        <scheme val="minor"/>
      </rPr>
      <t xml:space="preserve"> (or XML) to configure the simulation, leveraging .NET 6’s built-in JSON libraries for easy deserialization into objects. Below is an example snippet of a JSON configuration for the elevator scenario:</t>
    </r>
  </si>
  <si>
    <t>{</t>
  </si>
  <si>
    <t xml:space="preserve">  "Building": {</t>
  </si>
  <si>
    <t xml:space="preserve">    "TotalFloors": 40,</t>
  </si>
  <si>
    <t xml:space="preserve">    "ElevatorCount": 6,</t>
  </si>
  <si>
    <t xml:space="preserve">    "FloorGroups": {</t>
  </si>
  <si>
    <t xml:space="preserve">      "Shops": [1,2,3,4,5],</t>
  </si>
  <si>
    <t xml:space="preserve">      "Offices": [6,7,...,20],</t>
  </si>
  <si>
    <t xml:space="preserve">      "Apartments": [21,22,...,40]</t>
  </si>
  <si>
    <t xml:space="preserve">  },</t>
  </si>
  <si>
    <t xml:space="preserve">  "Elevators": {</t>
  </si>
  <si>
    <t xml:space="preserve">    "Capacity": 10,</t>
  </si>
  <si>
    <t xml:space="preserve">    "SpeedFloorPerSecond": 1,</t>
  </si>
  <si>
    <t xml:space="preserve">    "DoorOpenTimeSec": 5</t>
  </si>
  <si>
    <t xml:space="preserve">  "Agents": [</t>
  </si>
  <si>
    <t xml:space="preserve">    {</t>
  </si>
  <si>
    <t xml:space="preserve">      "Type": "Resident",</t>
  </si>
  <si>
    <t xml:space="preserve">      "HomeFloors": [21,40],</t>
  </si>
  <si>
    <t xml:space="preserve">      "TripsPerDay": 2,</t>
  </si>
  <si>
    <t xml:space="preserve">      "Schedule": "morning outbound, evening inbound"</t>
  </si>
  <si>
    <t xml:space="preserve">    },</t>
  </si>
  <si>
    <t xml:space="preserve">      "Type": "OfficeWorker",</t>
  </si>
  <si>
    <t xml:space="preserve">      "OfficeFloors": [6,20],</t>
  </si>
  <si>
    <t xml:space="preserve">      "ArrivalPeakHour": 9,</t>
  </si>
  <si>
    <t xml:space="preserve">      "DeparturePeakHour": 17</t>
  </si>
  <si>
    <t xml:space="preserve">      "Type": "Shopper",</t>
  </si>
  <si>
    <t xml:space="preserve">      "TargetFloors": [1,5],</t>
  </si>
  <si>
    <t xml:space="preserve">      "AverageInterarrivalMinutes": 30</t>
  </si>
  <si>
    <t xml:space="preserve">  ],</t>
  </si>
  <si>
    <t xml:space="preserve">  "Simulation": {</t>
  </si>
  <si>
    <t xml:space="preserve">    "StartTime": "08:00",</t>
  </si>
  <si>
    <t xml:space="preserve">    "DurationHours": 12,</t>
  </si>
  <si>
    <t xml:space="preserve">    "RandomSeed": 42,</t>
  </si>
  <si>
    <t xml:space="preserve">    "LogFile": "elevator_sim_log.csv"</t>
  </si>
  <si>
    <t xml:space="preserve">  }</t>
  </si>
  <si>
    <r>
      <t>Explanation:</t>
    </r>
    <r>
      <rPr>
        <sz val="11"/>
        <color theme="1"/>
        <rFont val="Aptos Narrow"/>
        <family val="2"/>
        <scheme val="minor"/>
      </rPr>
      <t xml:space="preserve"> The </t>
    </r>
    <r>
      <rPr>
        <b/>
        <sz val="11"/>
        <color theme="1"/>
        <rFont val="Aptos Narrow"/>
        <family val="2"/>
        <scheme val="minor"/>
      </rPr>
      <t>Building</t>
    </r>
    <r>
      <rPr>
        <sz val="11"/>
        <color theme="1"/>
        <rFont val="Aptos Narrow"/>
        <family val="2"/>
        <scheme val="minor"/>
      </rPr>
      <t xml:space="preserve"> section defines number of floors and the grouping of floors by type (this might be just informational or used to generate agent trips). </t>
    </r>
    <r>
      <rPr>
        <b/>
        <sz val="11"/>
        <color theme="1"/>
        <rFont val="Aptos Narrow"/>
        <family val="2"/>
        <scheme val="minor"/>
      </rPr>
      <t>Elevators</t>
    </r>
    <r>
      <rPr>
        <sz val="11"/>
        <color theme="1"/>
        <rFont val="Aptos Narrow"/>
        <family val="2"/>
        <scheme val="minor"/>
      </rPr>
      <t xml:space="preserve"> can define shared properties like capacity and speed (all six assumed identical here). </t>
    </r>
    <r>
      <rPr>
        <b/>
        <sz val="11"/>
        <color theme="1"/>
        <rFont val="Aptos Narrow"/>
        <family val="2"/>
        <scheme val="minor"/>
      </rPr>
      <t>Agents</t>
    </r>
    <r>
      <rPr>
        <sz val="11"/>
        <color theme="1"/>
        <rFont val="Aptos Narrow"/>
        <family val="2"/>
        <scheme val="minor"/>
      </rPr>
      <t xml:space="preserve"> defines the characteristics of each agent type; for example, Residents have homes in floors 21–40 and typically make two trips a day, whereas OfficeWorkers have a peak arrival and departure time. </t>
    </r>
    <r>
      <rPr>
        <b/>
        <sz val="11"/>
        <color theme="1"/>
        <rFont val="Aptos Narrow"/>
        <family val="2"/>
        <scheme val="minor"/>
      </rPr>
      <t>Simulation</t>
    </r>
    <r>
      <rPr>
        <sz val="11"/>
        <color theme="1"/>
        <rFont val="Aptos Narrow"/>
        <family val="2"/>
        <scheme val="minor"/>
      </rPr>
      <t xml:space="preserve"> gives the start time, total duration, random seed (for reproducibility), and output file name. When the simulator starts, it would read this JSON, create the Building and Floor objects, initialize six Elevator objects, and generate Person arrival events based on the Agents info (e.g. using the peak hours to probabilistically schedule office worker arrivals around 9:00).</t>
    </r>
  </si>
  <si>
    <r>
      <t xml:space="preserve">For </t>
    </r>
    <r>
      <rPr>
        <b/>
        <sz val="11"/>
        <color theme="1"/>
        <rFont val="Aptos Narrow"/>
        <family val="2"/>
        <scheme val="minor"/>
      </rPr>
      <t>output</t>
    </r>
    <r>
      <rPr>
        <sz val="11"/>
        <color theme="1"/>
        <rFont val="Aptos Narrow"/>
        <family val="2"/>
        <scheme val="minor"/>
      </rPr>
      <t xml:space="preserve">, the simulator produces both </t>
    </r>
    <r>
      <rPr>
        <b/>
        <sz val="11"/>
        <color theme="1"/>
        <rFont val="Aptos Narrow"/>
        <family val="2"/>
        <scheme val="minor"/>
      </rPr>
      <t>console messages</t>
    </r>
    <r>
      <rPr>
        <sz val="11"/>
        <color theme="1"/>
        <rFont val="Aptos Narrow"/>
        <family val="2"/>
        <scheme val="minor"/>
      </rPr>
      <t xml:space="preserve"> and </t>
    </r>
    <r>
      <rPr>
        <b/>
        <sz val="11"/>
        <color theme="1"/>
        <rFont val="Aptos Narrow"/>
        <family val="2"/>
        <scheme val="minor"/>
      </rPr>
      <t>log files</t>
    </r>
    <r>
      <rPr>
        <sz val="11"/>
        <color theme="1"/>
        <rFont val="Aptos Narrow"/>
        <family val="2"/>
        <scheme val="minor"/>
      </rPr>
      <t xml:space="preserve">. The console output might be terse, while the log file is detailed for analysis. For example, an </t>
    </r>
    <r>
      <rPr>
        <b/>
        <sz val="11"/>
        <color theme="1"/>
        <rFont val="Aptos Narrow"/>
        <family val="2"/>
        <scheme val="minor"/>
      </rPr>
      <t>event log (CSV)</t>
    </r>
    <r>
      <rPr>
        <sz val="11"/>
        <color theme="1"/>
        <rFont val="Aptos Narrow"/>
        <family val="2"/>
        <scheme val="minor"/>
      </rPr>
      <t xml:space="preserve"> could have columns like:</t>
    </r>
  </si>
  <si>
    <r>
      <t xml:space="preserve">Each line logs an event with timestamp. In this snippet, at 08:00:05 Elevator 4 </t>
    </r>
    <r>
      <rPr>
        <b/>
        <sz val="11"/>
        <color theme="1"/>
        <rFont val="Aptos Narrow"/>
        <family val="2"/>
        <scheme val="minor"/>
      </rPr>
      <t>Pickup</t>
    </r>
    <r>
      <rPr>
        <sz val="11"/>
        <color theme="1"/>
        <rFont val="Aptos Narrow"/>
        <family val="2"/>
        <scheme val="minor"/>
      </rPr>
      <t xml:space="preserve"> 3 passengers at floor 1: two office workers headed to floor 15 and one shopper to floor 6 (for example). The drop-offs show when those passengers exit, including how long they waited and rode. We could also log </t>
    </r>
    <r>
      <rPr>
        <b/>
        <sz val="11"/>
        <color theme="1"/>
        <rFont val="Aptos Narrow"/>
        <family val="2"/>
        <scheme val="minor"/>
      </rPr>
      <t>summary stats</t>
    </r>
    <r>
      <rPr>
        <sz val="11"/>
        <color theme="1"/>
        <rFont val="Aptos Narrow"/>
        <family val="2"/>
        <scheme val="minor"/>
      </rPr>
      <t xml:space="preserve"> in a JSON or CSV at the end, for example:</t>
    </r>
  </si>
  <si>
    <t>Time,ElevID,Event,Floor,Details</t>
  </si>
  <si>
    <t>08:00:05,E4,Pickup,1,3 passengers (2 Office, 1 Shop) entered -&gt; dest [6, 15, 15]</t>
  </si>
  <si>
    <t>08:00:15,E4,Dropoff,6,1 passenger (Office) exited, waited 10s, rode 10s</t>
  </si>
  <si>
    <t>08:00:20,E4,Dropoff,15,2 passengers (1 Office, 1 Shop) exited, waited 5s/12s</t>
  </si>
  <si>
    <t>08:00:30,E4,Idle,15,Elevator now idle</t>
  </si>
  <si>
    <t>results: {</t>
  </si>
  <si>
    <t xml:space="preserve">  "totalPassengers": 300,</t>
  </si>
  <si>
    <t xml:space="preserve">  "avgWaitTime_sec": 45.3,</t>
  </si>
  <si>
    <t xml:space="preserve">  "avgWaitByType": { "Resident": 30.1, "OfficeWorker": 60.5, "Shopper": 40.0 },</t>
  </si>
  <si>
    <t xml:space="preserve">  "maxQueueLength": { "Floor1": 5, "Floor6": 8, ... }</t>
  </si>
  <si>
    <t>This data can be used to verify performance or identify bottlenecks (e.g. perhaps offices have the worst waits). Our DataLogger class would handle writing this data, ensuring that file I/O is efficient and doesn’t slow the simulation (possibly by batching writes or using async file writes in .NET).</t>
  </si>
  <si>
    <t>Stakeholder Need</t>
  </si>
  <si>
    <t>Requirements Traceability Verification Matrix</t>
  </si>
  <si>
    <t>ICD</t>
  </si>
  <si>
    <r>
      <t xml:space="preserve">The JSON config and CSV/JSON outputs form a basic </t>
    </r>
    <r>
      <rPr>
        <b/>
        <sz val="11"/>
        <color theme="1"/>
        <rFont val="Aptos Narrow"/>
        <family val="2"/>
        <scheme val="minor"/>
      </rPr>
      <t>Interface Control Document (ICD)</t>
    </r>
    <r>
      <rPr>
        <sz val="11"/>
        <color theme="1"/>
        <rFont val="Aptos Narrow"/>
        <family val="2"/>
        <scheme val="minor"/>
      </rPr>
      <t xml:space="preserve"> for our simulator’s data format, meaning anyone can understand how to configure the sim and interpret its results.</t>
    </r>
  </si>
  <si>
    <t>// Represents a person/agent in the simulation</t>
  </si>
  <si>
    <t>public class Person {</t>
  </si>
  <si>
    <t xml:space="preserve">    public int Id;</t>
  </si>
  <si>
    <t xml:space="preserve">    public string Type;  // "Resident", "OfficeWorker", etc.</t>
  </si>
  <si>
    <t xml:space="preserve">    public int OriginFloor;</t>
  </si>
  <si>
    <t xml:space="preserve">    public int DestinationFloor;</t>
  </si>
  <si>
    <t xml:space="preserve">    public TimeSpan ArrivalTime;</t>
  </si>
  <si>
    <t xml:space="preserve">    public TimeSpan? PickupTime;   // time when entered elevator (null if waiting)</t>
  </si>
  <si>
    <t xml:space="preserve">    public TimeSpan? DropoffTime;  // time when reached destination</t>
  </si>
  <si>
    <t xml:space="preserve">    // Calculate wait time after simulation for stats</t>
  </si>
  <si>
    <t xml:space="preserve">    public double WaitSeconds =&gt; (PickupTime - ArrivalTime)?.TotalSeconds ?? 0;</t>
  </si>
  <si>
    <t xml:space="preserve">    // ... Other properties or methods as needed</t>
  </si>
  <si>
    <t>// Represents an Elevator car</t>
  </si>
  <si>
    <t>public class Elevator {</t>
  </si>
  <si>
    <t xml:space="preserve">    public int CurrentFloor;</t>
  </si>
  <si>
    <t xml:space="preserve">    public string State;  // "Idle", "MovingUp", "MovingDown", "DoorOpen", etc.</t>
  </si>
  <si>
    <t xml:space="preserve">    public int? TargetFloor;    // current goal (null if none)</t>
  </si>
  <si>
    <t xml:space="preserve">    public List&lt;int&gt; StopQueue; // queue of pending stops (if implementing buffering)</t>
  </si>
  <si>
    <t xml:space="preserve">    // Move one step towards target (e.g., one floor per call or handle door timing)</t>
  </si>
  <si>
    <t xml:space="preserve">    public void UpdatePosition(int deltaTimeSeconds) {</t>
  </si>
  <si>
    <t xml:space="preserve">        // TODO: update CurrentFloor toward TargetFloor based on speed</t>
  </si>
  <si>
    <t xml:space="preserve">        // If reached TargetFloor, perhaps trigger arrival event</t>
  </si>
  <si>
    <t xml:space="preserve">    public void OpenDoor() { /* TODO: simulate door open delay */ }</t>
  </si>
  <si>
    <t xml:space="preserve">    public void CloseDoor() { /* TODO: simulate door close delay */ }</t>
  </si>
  <si>
    <t xml:space="preserve">    public bool IsIdle =&gt; TargetFloor == null;</t>
  </si>
  <si>
    <t>// Core simulation controller</t>
  </si>
  <si>
    <t>public class ElevatorSimulator {</t>
  </si>
  <si>
    <t xml:space="preserve">    public Building Building;         // holds floors and initial person events</t>
  </si>
  <si>
    <t xml:space="preserve">    public List&lt;Elevator&gt; Elevators;</t>
  </si>
  <si>
    <t xml:space="preserve">    public DataLogger Logger;</t>
  </si>
  <si>
    <t xml:space="preserve">    public TimeSpan CurrentTime = TimeSpan.Zero;</t>
  </si>
  <si>
    <t xml:space="preserve">    public void LoadConfig(string configPath) {</t>
  </si>
  <si>
    <t xml:space="preserve">        // TODO: read JSON into Building, initialize floors, spawn initial Person events</t>
  </si>
  <si>
    <t xml:space="preserve">        // Using System.Text.Json to deserialize config to objects :contentReference[oaicite:30]{index=30} </t>
  </si>
  <si>
    <t xml:space="preserve">    public void RunSimulation(TimeSpan duration) {</t>
  </si>
  <si>
    <t xml:space="preserve">        // Outline of main loop or event processing, as described above.</t>
  </si>
  <si>
    <t xml:space="preserve">        // Use CurrentTime and loop until CurrentTime &gt;= duration.</t>
  </si>
  <si>
    <t xml:space="preserve">        // Each iteration: generate arrivals, dispatch elevators, move elevators, handle arrivals at floors.</t>
  </si>
  <si>
    <t xml:space="preserve">        // Log events via Logger.</t>
  </si>
  <si>
    <t xml:space="preserve">    private void DispatchElevators() {</t>
  </si>
  <si>
    <t xml:space="preserve">        // TODO: simple strategy to assign waiting requests to idle elevators</t>
  </si>
  <si>
    <t xml:space="preserve">        // e.g., find the longest waiting person or lowest floor with waiting people, assign to nearest idle elevator.</t>
  </si>
  <si>
    <t xml:space="preserve">    private void HandleElevatorArrival(Elevator elev) {</t>
  </si>
  <si>
    <t xml:space="preserve">        // TODO: when elevator reaches a floor, handle people getting on/off.</t>
  </si>
  <si>
    <t xml:space="preserve">        // Update Person PickupTime/DropoffTime, remove from queues, add elevator new stops if any.</t>
  </si>
  <si>
    <t>C# code structure, creating class stubs with comments as a “scaffolding” before full implementation. This step defines all classes, methods, and their responsibilities clearly:</t>
  </si>
  <si>
    <t>Use asynchronous file I/O for logging so as not to block the simulation loop,</t>
  </si>
  <si>
    <t>The Simulation Operator (SO) represents the main logic engine</t>
  </si>
  <si>
    <t>The SO defines each "trial" as a full day of operation. (12:00am - 11:59pm)</t>
  </si>
  <si>
    <t>The SO can run multiple trials sequentially per StartSimulation command.  The number of trials per simulation is defined in the config file, and defaults to 1.</t>
  </si>
  <si>
    <t>For this version of the simulator, the Occupants are assumed to make only one trip up and one trip down (or vice versa for residents). In later versions, this may adapt to allow transfers between multiple floors.</t>
  </si>
  <si>
    <t>Elevators should not poll passengers directly. When a passenger requests service, the passenger controller publishes a call event. The elevator controller listens for these events and decides whether to dispatch an elevator or acknowledge that one is already en route. The mechanism should allow the elevator controller to send feedback to the passenger (e.g. “Use Elevator 3”) without tightly coupling the classes.</t>
  </si>
  <si>
    <t>Objects should emit a rich set of status messages to the DataLogger. These include calls (“Passenger A requesting elevator on floor 5”), dispatches (“Elevator X assigned to floor 5”), movement (“Elevator X passing floor 4 moving up”), door operations, acceleration/deceleration phases, and boarding/exiting events. Each message corresponds to a specific time increment in the simulation, and the elevator controller should accumulate these durations to compute each elevator’s utilisation and travel time. Likewise, each passenger object must track its own waiting and ride durations across all trips for later analysis.</t>
  </si>
  <si>
    <t>System Design</t>
  </si>
  <si>
    <t>https://sparxsystems.com/resources/user-guides/16.1/guidebooks/mbse-and-sysml.pdf</t>
  </si>
  <si>
    <t>sebokwiki.org</t>
  </si>
  <si>
    <t>Mission/Value Statement</t>
  </si>
  <si>
    <t>Stakeholder Analysis</t>
  </si>
  <si>
    <t>Analyse wait times and elevator utilisation across different passenger profiles.</t>
  </si>
  <si>
    <t>Requirements Diagrams</t>
  </si>
  <si>
    <t>Artifact</t>
  </si>
  <si>
    <t>Site-owners</t>
  </si>
  <si>
    <t>Building managers</t>
  </si>
  <si>
    <t>Engineers</t>
  </si>
  <si>
    <t>Occupants</t>
  </si>
  <si>
    <t>SEBoK’s Concept‑Definition section reinforces this: business or mission analysis should define the overall strategic problem or opportunity, identify why the system is needed and what value it will bring, and develop the mission, goals, objectives and measures of success before stakeholder needs and requirements are elaborated</t>
  </si>
  <si>
    <t>MISSION STATEMENT:</t>
  </si>
  <si>
    <t>Design and validate an elevator simulation tool that enables a Modeling Simulation &amp; Testing team determine how many elevators are needed in a multi‑storey building to meet guest wait‑time objectives. The tool should replicate guest arrivals and elevator dispatch, measure actual and perceived wait times, and enable capacity planning decisions for parks and resorts.</t>
  </si>
  <si>
    <t>VALUE</t>
  </si>
  <si>
    <t>SRC-01</t>
  </si>
  <si>
    <t>https://www.appa.org/elevator-systems#:~:text=academic%20office%20building%20should%20not,average%20waiting%20time%20of%2044</t>
  </si>
  <si>
    <t>https://whyy.org/segments/science-of-waiting-elevators/#:~:text=Theresa%20Christy%2C%20a%20mathematician%20and,elevators%20with%20minimal%20wait%20times</t>
  </si>
  <si>
    <t>SRC-02</t>
  </si>
  <si>
    <t>Need/Concern</t>
  </si>
  <si>
    <t>Notes</t>
  </si>
  <si>
    <t>Modelling Simulation &amp; Testing team</t>
  </si>
  <si>
    <t>A configurable tool to experiment with passenger arrival rates, elevator counts, dispatch logic and building height; ability to generate summary statistics and visualise system behaviour</t>
  </si>
  <si>
    <t>Primary user of the simulation</t>
  </si>
  <si>
    <t>Evidence‑based recommendations on elevator count and control strategies to achieve specified wait‑time objectives; insight into bottlenecks and surge scenarios</t>
  </si>
  <si>
    <t>Secondary stakeholders</t>
  </si>
  <si>
    <t>Theme‑park guests/occupants</t>
  </si>
  <si>
    <t>Acceptable wait times and smooth elevator service (indirect stakeholder)</t>
  </si>
  <si>
    <t>Research shows passengers become dissatisfied when waiting exceeds what they consider reasonable; quality of service is largely judged on average and perceived wait times</t>
  </si>
  <si>
    <t>Corporate leadership</t>
  </si>
  <si>
    <t>Ability to justify capital expenditures on elevators and throughput improvements based on quantified benefits</t>
  </si>
  <si>
    <t>Alignment with business goals</t>
  </si>
  <si>
    <t>Park building designers &amp; operations managers</t>
  </si>
  <si>
    <t>STAKEHOLDER NEEDS</t>
  </si>
  <si>
    <t>Goals, objectives and performance measures</t>
  </si>
  <si>
    <t>Goal 4</t>
  </si>
  <si>
    <t xml:space="preserve">Goal 3 </t>
  </si>
  <si>
    <t>Goal 2</t>
  </si>
  <si>
    <t>Goal 1</t>
  </si>
  <si>
    <t>Determine required elevator capacity.</t>
  </si>
  <si>
    <t>Analyse impact of arrival patterns and guest classes.</t>
  </si>
  <si>
    <t>Provide decision‑support metrics.</t>
  </si>
  <si>
    <t>Model pedestrian traffic through bottleneck situations with multiple user types with different peak periods; test variable arrival rates and dwell times to understand sensitivity.</t>
  </si>
  <si>
    <t>For each scenario, output distributions of wait times, travel times and throughput; report the percentage of passengers exceeding threshold waits; and compute utilisation of each vehicle (elevator).</t>
  </si>
  <si>
    <t>Support future adaptation.</t>
  </si>
  <si>
    <t>Develop the core architecture so that it can later incorporate destination dispatch, mid‑journey floor changes, and eventually theme‑park attraction queues.</t>
  </si>
  <si>
    <t>These requirements shall be captured in the RTVM and later translated to SysML requirement diagrams after the mission and stakeholder analysis.</t>
  </si>
  <si>
    <t>1.</t>
  </si>
  <si>
    <t>2.</t>
  </si>
  <si>
    <t>3.</t>
  </si>
  <si>
    <t>4.</t>
  </si>
  <si>
    <t>Functional requirements</t>
  </si>
  <si>
    <t>Performance requirements</t>
  </si>
  <si>
    <t>Interface requirements</t>
  </si>
  <si>
    <t>Quality requirements</t>
  </si>
  <si>
    <t xml:space="preserve"> it shall simulate elevator motion between floors, door operation, and passenger boarding/alighting.</t>
  </si>
  <si>
    <t xml:space="preserve"> It shall log events (calls, assignments, movements) in a machine‑readable file. </t>
  </si>
  <si>
    <t>It shall allow configuration of building height, number of elevators and passenger arrival distributions.</t>
  </si>
  <si>
    <t xml:space="preserve"> it shall support experiments to verify that the 95th‑percentile wait is ≤ 60 s and report average wait times (expected 20–45 s based on building type guidelinesappa.org).</t>
  </si>
  <si>
    <t>High-Level system requirements</t>
  </si>
  <si>
    <t xml:space="preserve">Initial implementation will be console‑based with JSON configuration (INPUT) and CSV/JSON logs (OUTPUT). </t>
  </si>
  <si>
    <t>The architecture shall decouple passenger management from elevator dispatch so that dispatch strategies can be swapped without altering passenger logic.</t>
  </si>
  <si>
    <t>Communication between passenger and elevator controllers shall be event‑based (delegates or messaging) to ensure loose coupling.</t>
  </si>
  <si>
    <t>The simulator shall be deterministic given a fixed random seed.</t>
  </si>
  <si>
    <t>It shall be able to run a full day (24 h) within minutes of computing time.</t>
  </si>
  <si>
    <t>It shall record reproducible results for analysis.</t>
  </si>
  <si>
    <t>The simulation shall produce wait‑time statistics.</t>
  </si>
  <si>
    <t>The simulator shall model individual passengers with arrival time, origin/destination floor, trip purpose and departure time.</t>
  </si>
  <si>
    <t>MBSE process steps</t>
  </si>
  <si>
    <t>Implementation planning</t>
  </si>
  <si>
    <t>System architecture/design</t>
  </si>
  <si>
    <t>System requirements definition</t>
  </si>
  <si>
    <t>Stakeholder needs definition</t>
  </si>
  <si>
    <t>Business/mission analysis</t>
  </si>
  <si>
    <t>Disney GE&amp;T Documentation Standards</t>
  </si>
  <si>
    <t>TWDC Documentation Standards</t>
  </si>
  <si>
    <t>In general, document standards will be followed  in the following order of priority:
(Wherein any specification is not available at a particular level, standards at the next level down will be followed)</t>
  </si>
  <si>
    <t>IEC 61508</t>
  </si>
  <si>
    <t>ISO-13849 (Functional Safety)</t>
  </si>
  <si>
    <t>ASTM F2291 (Theme Park Attractions)</t>
  </si>
  <si>
    <t>ANSI E1.47 (Rigging Systms)</t>
  </si>
  <si>
    <t>ASME Mechanical (e.g. Y14.5)</t>
  </si>
  <si>
    <t>UL 508A or NFPA 79 for electrical control panels</t>
  </si>
  <si>
    <t>INCOSE Requirements Documentation Standards, e.g System Description Document (SDD)</t>
  </si>
  <si>
    <t>https://www.pmi.org/learning/library/delivery-attraction-projects-disney-imagineering-3569#:~:text=Each%20new%20attraction%20evolves%20through,supports%20the%20budget%20pro%20forma</t>
  </si>
  <si>
    <t>Managing The Magic</t>
  </si>
  <si>
    <t>SRC-03</t>
  </si>
  <si>
    <t>This simulation serves as a prototype for future applications in theme park environments, where understanding the dynamics of guest surges and vertical transportation can inform infrastructure planning and attraction capacity strategies.</t>
  </si>
  <si>
    <t>Mission Overview: The mission of the Simple Elevator Simulation project is to develop a foundational simulation environment that models the flow of individual guests into and out of a 40-story building served by elevators. This system will simulate the behavior of elevator dispatch and passenger movement throughout a single operational day. The purpose is to provide actionable insight into wait times, system bottlenecks, and capacity thresholds for elevator usage in vertical facilities such as towers, resorts, or future-themed destinations.</t>
  </si>
  <si>
    <t>Value Proposition The elevator simulator provides a systematic and data-driven method to evaluate the impact of elevator quantity, dispatch strategy, and passenger arrival patterns on overall service efficiency. Specifically, the system will:
- Support throughput analysis for vertical transportation based on time-of-day usage.
- Determine the elevator count required to meet service-level goals.
- Quantify guest wait times and highlight conditions leading to degraded performance.
- Identify surge thresholds beyond which bottlenecks form, reducing guest satisfaction.
By modeling these elements, the simulator can aid in future planning of attraction queues, resort towers, and multi-level theme park environments. It supports scalable use for both conceptual design and operational testing in themed entertainment development.</t>
  </si>
  <si>
    <t>High-Level
Objectives</t>
  </si>
  <si>
    <t>Goals</t>
  </si>
  <si>
    <t>1. Model elevator dispatch and guest traffic through a 40-story building across a full day (12:01am to 11:59pm) of simulated time.</t>
  </si>
  <si>
    <t>2. Simulate three distinct passenger classes (Residents, Office Workers, Shoppers), each with arrival time patterns and floor destination preferences.</t>
  </si>
  <si>
    <t>3. Allow configuration of:
 - Number of elevators
 - Arrival frequency for each passenger class
 - Maximum passenger throughput targets
- Ensure that 95% of passengers wait less than 1 minute for an elevator throughout the simulated day.</t>
  </si>
  <si>
    <t>5. Create a simulation framework where Elevator and Passenger behavior are decoupled for future extensibility.</t>
  </si>
  <si>
    <t>4. Capture logs of elevator actions and passenger wait/travel times to assess system performance.</t>
  </si>
  <si>
    <t>Need to model and evaluate guest surge behaviors in vertical environments</t>
  </si>
  <si>
    <t>95% of passengers experience &lt;1 min wait time</t>
  </si>
  <si>
    <t>Global Engineering &amp; Testing (GE&amp;T)</t>
  </si>
  <si>
    <t>Identify throughput bottlenecks for infrastructure planning</t>
  </si>
  <si>
    <t>Maximum building throughput before service degradation</t>
  </si>
  <si>
    <t>Imagineering Design &amp; Planning</t>
  </si>
  <si>
    <t>Understand simulation architecture for later reuse in themed attraction modeling</t>
  </si>
  <si>
    <t>Modular architecture with configurable dispatch/pedestrian logic</t>
  </si>
  <si>
    <t>Simulation runs a full operational day and outputs detailed logs.</t>
  </si>
  <si>
    <t>Data confirms that with optimal elevator count and distribution strategy, 95% of passengers meet the 1-minute wait time target.</t>
  </si>
  <si>
    <t>Model identifies inflection points where passenger surges or elevator shortages cause service degradation.</t>
  </si>
  <si>
    <t>Simulation engine architecture supports modular expansion for future GUI or dynamic dispatch logic.</t>
  </si>
  <si>
    <t>Success Criteria</t>
  </si>
  <si>
    <t>Site Owners</t>
  </si>
  <si>
    <t>Building Managers</t>
  </si>
  <si>
    <t>Operators</t>
  </si>
  <si>
    <t>Analyze average wait times for individuals transferring between floors in a skyscaper via elevators
- Maintain an acceptable percentage of passengers below a maximum wait time (60 s by default based on industry standard)
Analyze overall average travel time for each passenger travelling between floors in a skyscraper via elevators
- This can be grouped based on distance traveled, but can be valuable to understand how much of an impact random floor distribution can have on residents.
AVG wait time overall
AVG wait time per class
Max queue length per floor
Frequency of elevators reaching Capacity
Elevator Utilization (%) per elevator (total 100%)</t>
  </si>
  <si>
    <t>Understand impact of changing elevator count on overall wait time
- balance the cost of adding additional elevators to the build versus the revenue gains of reducing wait times.
Understand the impact of downed elevators due to maintenance or failure.
- Provide information about recovery time after a downed elevator returns to operation
Analyze the possible advantage of allocating each elevator to specific groups of floors for high density traffic times.
- Understand the cost/benefit of making this a fixed decisions
- Understand the cost/benefit of making this a scheduled adaptation</t>
  </si>
  <si>
    <t>SN-1: Flexible Elevator Configuration</t>
  </si>
  <si>
    <t>Need ID</t>
  </si>
  <si>
    <t>Description</t>
  </si>
  <si>
    <t>The MS&amp;T team needs the simulator to allow configuring the number of elevators (e.g. 2, 4, 6 elevators) and other key parameters. This flexibility lets stakeholders experiment with different elevator counts to see how it impacts throughput and waiting times. Rationale: Varying the elevator count is essential to determine the optimal number of elevators for given guest volumes, and to demonstrate scalability of the simulation.</t>
  </si>
  <si>
    <t>SN-2: 40-Story Building Throughput Modeling</t>
  </si>
  <si>
    <t>All stakeholders need the simulator to accurately model a 40-floor building with elevators serving all floors. The system should simulate realistic elevator operations (travel time between floors, loading/unloading times, capacity limits) in this high-rise context. Rationale: The core purpose is to simulate guest movement in a high-rise building environment; the simulator must reflect the complexity of serving 40 floors so that results are credible for the intended scenario.</t>
  </si>
  <si>
    <t>SN-3: Realistic Guest Arrival and Behavior</t>
  </si>
  <si>
    <r>
      <t xml:space="preserve">Imagineering needs the simulation to incorporate realistic guest arrival patterns and behaviors (e.g. how guests call elevators, how many enter/exit at floors). The simulator should allow input of different guest arrival rates or scenarios (peak vs off-peak) to test the elevator system under various conditions. </t>
    </r>
    <r>
      <rPr>
        <i/>
        <sz val="11"/>
        <color theme="1"/>
        <rFont val="Aptos Narrow"/>
        <family val="2"/>
        <scheme val="minor"/>
      </rPr>
      <t>Rationale:</t>
    </r>
    <r>
      <rPr>
        <sz val="11"/>
        <color theme="1"/>
        <rFont val="Aptos Narrow"/>
        <family val="2"/>
        <scheme val="minor"/>
      </rPr>
      <t xml:space="preserve"> This ensures the model represents typical and worst-case scenarios, so that the creative design team can verify that guest experience remains acceptable (e.g. no extreme wait times) under all expected conditions.</t>
    </r>
  </si>
  <si>
    <t>SN-4: Performance Data Logging and Analytics</t>
  </si>
  <si>
    <t>Ride capacity analysts need the simulator to log detailed performance data for each run, including metrics like wait times, travel times, queue lengths, and throughput per hour. The tool should provide outputs (logs or reports) that can be analyzed to evaluate system performance and identify bottlenecks. Rationale: Logging and analysis capabilities are crucial for data-driven decision making – analysts must be able to quantify how well a given elevator configuration performs and justify recommendations (for example, if adding an elevator reduces average wait time by X%).</t>
  </si>
  <si>
    <t>SN-5: Comparative Scenario Evaluation</t>
  </si>
  <si>
    <t>The MS&amp;T team and analysts need the ability to easily run and compare multiple scenarios. For example, they might simulate the building with 3 elevators vs. 4 elevators, or compare different elevator control algorithms. The simulator should support running these scenarios back-to-back and making it convenient to compare results (through either visualization or summary statistics). Rationale: The value of the simulator is in learning which configuration or algorithm works best. Quick scenario iteration and comparison help stakeholders make informed choices about elevator system design and settings.</t>
  </si>
  <si>
    <t>SN-6: User-Friendly Simulation Control</t>
  </si>
  <si>
    <r>
      <t xml:space="preserve">The MS&amp;T team needs the simulator to have a user-friendly interface or configuration mechanism to set up simulations (e.g. input number of elevators, set passenger arrival rates, start/stop the simulation). Stakeholders who are not software developers (such as some Imagineers or analysts) should be able to adjust key parameters or at least easily request scenarios. </t>
    </r>
    <r>
      <rPr>
        <i/>
        <sz val="11"/>
        <color theme="1"/>
        <rFont val="Aptos Narrow"/>
        <family val="2"/>
        <scheme val="minor"/>
      </rPr>
      <t>Rationale:</t>
    </r>
    <r>
      <rPr>
        <sz val="11"/>
        <color theme="1"/>
        <rFont val="Aptos Narrow"/>
        <family val="2"/>
        <scheme val="minor"/>
      </rPr>
      <t xml:space="preserve"> Ease of use ensures all stakeholders can engage with the tool’s capabilities – for a demonstration system especially, it may be used in presentations or collaborative sessions, so it should be straightforward to operate and tweak without deep technical intervention.</t>
    </r>
  </si>
  <si>
    <t>SN-7: Visual and Presentable Outputs</t>
  </si>
  <si>
    <r>
      <t xml:space="preserve">Imagineering and leadership stakeholders need the simulation results to be easily understandable and presentable. This could mean the simulator provides a simple visualization of elevator movement or at least clear charts/graphs of performance over time. </t>
    </r>
    <r>
      <rPr>
        <i/>
        <sz val="11"/>
        <color theme="1"/>
        <rFont val="Aptos Narrow"/>
        <family val="2"/>
        <scheme val="minor"/>
      </rPr>
      <t>Rationale:</t>
    </r>
    <r>
      <rPr>
        <sz val="11"/>
        <color theme="1"/>
        <rFont val="Aptos Narrow"/>
        <family val="2"/>
        <scheme val="minor"/>
      </rPr>
      <t xml:space="preserve"> As a demonstration of capabilities, having visual outputs or intuitive results helps convey the findings to both technical and non-technical stakeholders, thereby increasing confidence in the simulation’s insights.</t>
    </r>
  </si>
  <si>
    <t>SN-8: Accuracy and Credibility of Simulation</t>
  </si>
  <si>
    <r>
      <t xml:space="preserve">All stakeholders need the Elevator Simulator to produce </t>
    </r>
    <r>
      <rPr>
        <b/>
        <sz val="11"/>
        <color theme="1"/>
        <rFont val="Aptos Narrow"/>
        <family val="2"/>
        <scheme val="minor"/>
      </rPr>
      <t>accurate and credible results</t>
    </r>
    <r>
      <rPr>
        <sz val="11"/>
        <color theme="1"/>
        <rFont val="Aptos Narrow"/>
        <family val="2"/>
        <scheme val="minor"/>
      </rPr>
      <t xml:space="preserve"> that reflect real-world expectations. The modeling of elevator dynamics (speed, acceleration, passenger capacity) and guest behavior should be sufficient to trust the outcomes. </t>
    </r>
    <r>
      <rPr>
        <i/>
        <sz val="11"/>
        <color theme="1"/>
        <rFont val="Aptos Narrow"/>
        <family val="2"/>
        <scheme val="minor"/>
      </rPr>
      <t>Rationale:</t>
    </r>
    <r>
      <rPr>
        <sz val="11"/>
        <color theme="1"/>
        <rFont val="Aptos Narrow"/>
        <family val="2"/>
        <scheme val="minor"/>
      </rPr>
      <t xml:space="preserve"> Since decisions (even if only demonstrative in this phase) may be based on the simulation, it must represent the system’s behavior faithfully. The GE&amp;T engineering team, in particular, wants to ensure the simulator’s logic aligns with engineering reality (so that later phases or bigger projects can rely on it).</t>
    </r>
  </si>
  <si>
    <t>SN-9: Extensibility for Future Phases</t>
  </si>
  <si>
    <r>
      <t xml:space="preserve">The MS&amp;T and GE&amp;T teams need the simulator design to be extensible, so that new features or scenarios can be added in Phase 2 (Expanded Elevator Simulator) and Phase 3 (High-Speed Rail System) without starting from scratch. </t>
    </r>
    <r>
      <rPr>
        <i/>
        <sz val="11"/>
        <color theme="1"/>
        <rFont val="Aptos Narrow"/>
        <family val="2"/>
        <scheme val="minor"/>
      </rPr>
      <t>Rationale:</t>
    </r>
    <r>
      <rPr>
        <sz val="11"/>
        <color theme="1"/>
        <rFont val="Aptos Narrow"/>
        <family val="2"/>
        <scheme val="minor"/>
      </rPr>
      <t xml:space="preserve"> Although this need is more forward-looking, planning for extensibility now will save effort later. For instance, the ability to increase building size or to integrate with a transit system simulation (in Phase 3) should be considered in the architecture. An extensible simulator ensures that the stakeholder needs can evolve without requiring a complete redesign in each phase.</t>
    </r>
  </si>
  <si>
    <t>Req ID</t>
  </si>
  <si>
    <t>SN-1</t>
  </si>
  <si>
    <t>SN-3</t>
  </si>
  <si>
    <t>Requirement Statement</t>
  </si>
  <si>
    <t>Stakeholder Need(s)</t>
  </si>
  <si>
    <t>SysML Tag</t>
  </si>
  <si>
    <t>The simulator shall model a 40-story building where each floor can generate passenger arrivals.</t>
  </si>
  <si>
    <t>SN-2, SN-3</t>
  </si>
  <si>
    <t>ElevatorBuilding::FloorModel</t>
  </si>
  <si>
    <t>The simulator shall support three passenger types: Residents, Office Workers, and Shoppers, each with unique daily flow patterns.</t>
  </si>
  <si>
    <t>PassengerController::PassengerType</t>
  </si>
  <si>
    <t>The simulator shall generate a schedule of passenger arrivals and departures across a 24-hour period, based on configurable probability distributions.</t>
  </si>
  <si>
    <t>SN-3, SN-4</t>
  </si>
  <si>
    <t>PassengerController::ArrivalScheduler</t>
  </si>
  <si>
    <t>The simulator shall instantiate a set number of elevators (configurable between 1 and 12).</t>
  </si>
  <si>
    <t>SN-1, SN-2</t>
  </si>
  <si>
    <t>ElevatorController::InitializeElevators</t>
  </si>
  <si>
    <t>The simulator shall assign elevators to passenger calls based on a basic dispatch algorithm (e.g., nearest idle elevator or FIFO).</t>
  </si>
  <si>
    <t>ElevatorController::DispatchStrategyBasic</t>
  </si>
  <si>
    <t>The simulator shall track elevator positions, movement direction, and state (Idle, MovingUp, MovingDown, Loading, Unloading).</t>
  </si>
  <si>
    <t>Elevator::StateModel</t>
  </si>
  <si>
    <t>The simulator shall process elevator movement one floor at a time per simulation tick, constrained by a floor-to-floor travel time constant.</t>
  </si>
  <si>
    <t>SN-4</t>
  </si>
  <si>
    <t>Elevator::MoveNextStep</t>
  </si>
  <si>
    <t>The simulator shall manage door open/close events and dwell times for each elevator stop.</t>
  </si>
  <si>
    <t>Elevator::DoorOperation</t>
  </si>
  <si>
    <t>The simulator shall log all key events including elevator movements, passenger boardings, disembarkations, and wait times.</t>
  </si>
  <si>
    <t>SN-5</t>
  </si>
  <si>
    <t>DataLogger::LogEvent</t>
  </si>
  <si>
    <t>The simulator shall support a minimum simulation duration of 24 hours, configurable in 1-day increments.</t>
  </si>
  <si>
    <t>SimulatorCore::RunDuration</t>
  </si>
  <si>
    <t>The simulation shall complete a 24-hour run in less than 2 minutes of real time on a modern desktop (e.g., .NET 6 runtime).</t>
  </si>
  <si>
    <t>SimulatorCore::ExecutionSpeed</t>
  </si>
  <si>
    <t>The simulator shall report passenger wait times with a resolution of 1 second or finer.</t>
  </si>
  <si>
    <t>DataLogger::WaitTimeAccuracy</t>
  </si>
  <si>
    <t>The system shall meet the performance goal that 95% of passenger wait times remain under 60 seconds when configured with sufficient elevator count.</t>
  </si>
  <si>
    <t>SN-2, SN-5</t>
  </si>
  <si>
    <t>PerformanceAnalyzer::WaitTimeCompliance</t>
  </si>
  <si>
    <t>The simulator shall load configuration data from an external JSON file defining building layout, elevator count, passenger distribution, and random seed.</t>
  </si>
  <si>
    <t>ConfigLoader::InputJSON</t>
  </si>
  <si>
    <t>DataLogger::OutputResults</t>
  </si>
  <si>
    <t>The simulator shall optionally emit real-time updates to console output for debugging and demonstration purposes.</t>
  </si>
  <si>
    <t>ConsoleView::RealTimeMonitor</t>
  </si>
  <si>
    <t>BuildSystem::DotNetCompatibility</t>
  </si>
  <si>
    <t>Architecture::OOPStructure</t>
  </si>
  <si>
    <t>The simulator shall allow rerunning the simulation deterministically using a fixed random seed.</t>
  </si>
  <si>
    <t>SimulatorCore::RandomSeedRepeatability</t>
  </si>
  <si>
    <t>The simulator shall support unit testing of elevator movement logic and passenger wait time calculations.</t>
  </si>
  <si>
    <t>TestSuite::ElevatorUnitTests</t>
  </si>
  <si>
    <t>These requirements form the basis for the initial MBSE modeling activities in SysML.</t>
  </si>
  <si>
    <t>All SR-### identifiers will be traceable to SysML requirements blocks, and associated with functional blocks or operations using &lt;&gt; and &lt;&gt; relationships.</t>
  </si>
  <si>
    <t>Configuration structure and I/O format will be detailed in the Interface Control Document (ICD).</t>
  </si>
  <si>
    <t>Use case scenarios and state machines for Elevator and Passenger behavior will be derived from SR-002 through SR-008.</t>
  </si>
  <si>
    <t>2. Performance Requirements</t>
  </si>
  <si>
    <t>3. Interface Requirements</t>
  </si>
  <si>
    <t>4. Quality Requirements</t>
  </si>
  <si>
    <t>SR-01.01</t>
  </si>
  <si>
    <t>SR-01.03</t>
  </si>
  <si>
    <t>SR-01.04</t>
  </si>
  <si>
    <t>SR-01.05</t>
  </si>
  <si>
    <t>SR-01.06</t>
  </si>
  <si>
    <t>SR-01.07</t>
  </si>
  <si>
    <t>SR-01.08</t>
  </si>
  <si>
    <t>SR-01.09</t>
  </si>
  <si>
    <t>SR-02.01</t>
  </si>
  <si>
    <t>SR-02.02</t>
  </si>
  <si>
    <t>SR-02.03</t>
  </si>
  <si>
    <t>SR-02.04</t>
  </si>
  <si>
    <t>SR-03.01</t>
  </si>
  <si>
    <t>SR-03.01.01</t>
  </si>
  <si>
    <t>SR-03.02</t>
  </si>
  <si>
    <t>SR-03.03</t>
  </si>
  <si>
    <t>SR-04.01</t>
  </si>
  <si>
    <t>SR-04.02</t>
  </si>
  <si>
    <t>SR-04.03</t>
  </si>
  <si>
    <t>SR-04.04</t>
  </si>
  <si>
    <t>SR-01.10</t>
  </si>
  <si>
    <t>Analysis: Compute statistics like average wait time per passenger type and elevator utilization.</t>
  </si>
  <si>
    <t>SR-02.05</t>
  </si>
  <si>
    <t>SR-04.05</t>
  </si>
  <si>
    <t>SR-04.06</t>
  </si>
  <si>
    <t>SR-01.11</t>
  </si>
  <si>
    <t>SR-01.11.01</t>
  </si>
  <si>
    <t>SR-01.11.02</t>
  </si>
  <si>
    <t>The simulator shall represent a console application that can be run from a simple executable.</t>
  </si>
  <si>
    <t>The simulator shall be architected using modular object-oriented principles with clear separation of object classes (e.g. ElevatorController, PassengerController, and SimulationCore) and decouple communication as much as possible.</t>
  </si>
  <si>
    <t>The simulator shall be implemented in C# targeting .NET 6 or later to take advantage of native JSON serialization/deserialization</t>
  </si>
  <si>
    <t>Ensure each class has a single responsibility, aligning with SOLID principles</t>
  </si>
  <si>
    <t>Enforce a modern, Modular Architecture (Decoupled MVC Structure)</t>
  </si>
  <si>
    <t>Read building configuration and agent parameters from a JSON or XML file using System.Text.Json for config loading (as noted).</t>
  </si>
  <si>
    <t>The simulator shall write summary output to the console at the end of the simulation.</t>
  </si>
  <si>
    <t>The simulator shall write verbose output simulation logs (events, wait times) to a DataLogger (CSV or JSON) file at the end of the simulation.</t>
  </si>
  <si>
    <t>No GUI in this stage, but the design anticipates adding one later.</t>
  </si>
  <si>
    <t>SR-04.05.01</t>
  </si>
  <si>
    <t>SR-04.05.02</t>
  </si>
  <si>
    <t>SR-04.05.03</t>
  </si>
  <si>
    <t>SR-04.05.04</t>
  </si>
  <si>
    <t>SR-04.05.05</t>
  </si>
  <si>
    <t>SR-04.05.06</t>
  </si>
  <si>
    <t>SR-04.05.07</t>
  </si>
  <si>
    <t>1. An elevator can move up, down or standstill.</t>
  </si>
  <si>
    <t>SR-01.07.01</t>
  </si>
  <si>
    <t>2. An elevator can transfer passengers from one floor in a building to another floor in the minimum time possible.</t>
  </si>
  <si>
    <t>SR-01.07.02</t>
  </si>
  <si>
    <t>3. Elevator door can only open when it is standstill in a floor (i.e. not moving).</t>
  </si>
  <si>
    <t>SR-01.07.03</t>
  </si>
  <si>
    <t>SR-01.01.01</t>
  </si>
  <si>
    <t>SR-01.01.02</t>
  </si>
  <si>
    <t>The simulator shall represent fixed number of elevators working concurrently during each simulation trial. The number of elevators can be confgured in the configuration file, and defaults to 4.</t>
  </si>
  <si>
    <t>The number of elevators can be configured for each trial. (4 Elevators by default)</t>
  </si>
  <si>
    <t>From the perspective of a building manager, the Simple Elevator Simulator provides a strategic tool for designing and operating vertical transportation systems efficiently. By modelling elevator traffic, the simulator can predict key performance indicators—such as average passenger waiting time and five‑minute handling capacity—before any construction or retrofits are made (tkelevator.com). These metrics help managers avoid undersizing elevators, which leads to long waits, and oversizing them, which incurs unnecessary construction, maintenance and modernization costs (atis.com). Simulation‑based traffic analysis also guides decisions on where to locate elevator banks and how to group service or freight elevators to match specific usage patterns (offices, hotels, hospitals, etc.), thereby improving occupant flow and freeing up rentable space (atis.com). Because this analysis is iterative, managers can refine shaft counts, budgets, passenger comfort and energy‑efficiency trade‑offs to achieve optimal configurations (tkelevator.com). In existing buildings, the same techniques can be used to adjust controller settings or door performance to boost handling capacity (the percentage of occupants moved within five minutes) without costly structural changes (atis.com). Altogether, the simulator helps building managers make data‑driven decisions that enhance occupant satisfaction while controlling life‑cycle costs.</t>
  </si>
  <si>
    <t>For site owners, the Simple Elevator Simulator acts as a financial optimization tool: it predicts how different elevator configurations will affect both capital and operating costs and helps ensure that guest and tenant throughput remains high. Traffic analysis models show that undersizing the elevator system leads to long wait times and potential occupancy limitations, whereas oversizing adds unnecessary construction, maintenance and modernization costs (atis.com). By simulating various shaft layouts and dispatch strategies, owners can select designs that reduce the total number of elevator shafts without sacrificing service quality, freeing up rentable space and lowering initial capital expenditure (tkelevator.com). The simulator also evaluates handling capacity—the percentage of occupants moved within five minutes—and average wait time, so owners can be confident that reduced elevator counts will still move crowds efficiently (atis.com). Because elevator banks and service lifts can be grouped and located more strategically based on simulated traffic patterns, operational efficiency improves and energy costs decrease (atis.com). By balancing these factors, the simulator helps site owners realize an early return on investment (often within 2–5 years) through lower construction and operating costs while maintaining the revenue-generating ability of the building through optimal occupant throughput )tkelevator.com).</t>
  </si>
  <si>
    <t>The Simple Elevator Simulator offers architects a data‑driven tool to optimize high‑rise design by predicting elevator performance and guiding core layout decisions early in the design process. A traffic simulation can estimate key metrics—such as average passenger waiting time and five‑minute handling capacity—and compare alternative shaft layouts, allowing the team to fine‑tune the number and placement of elevators before construction begins (tkelevator.com). By showing how different configurations affect wait times and handling capacity, the simulator helps architects strike a balance between occupant comfort and efficient use of core space; in many cases, it can identify layouts that reduce the number of shafts needed, freeing up rentable floor area (tkelevator.com). Early traffic analysis also ensures that the architect and engineers agree on the number and arrangement of shafts, preventing costly structural changes later in the project and allowing money to be saved through informed, iterative refinement of the vertical‑transport system (tkelevator.com)</t>
  </si>
  <si>
    <t>For engineers, the Simple Elevator Simulator serves as a virtual test bed for designing elevator systems that satisfy both operational and safety requirements. Planning an elevator installation involves balancing passenger handling capacity, waiting interval, speed, location and group‑control safety—all of which must meet statutory codes to ensure people are not trapped or endangered (pdhonline.com). The PDH design guide notes that engineers must consider building characteristics (e.g. floor count, population distribution), circulation efficiency (number of cars, their capacity, travel length and acceptable wait time) and equipment characteristics (type of lift, rated load, speed, control system, redundancy, emergency power and fire protection) (pdhonline.com). Traffic analysis uses these factors to select the right number and type of elevators, sizes and speeds, control strategies and layout positions to deliver smooth passenger flow (pdhonline.com). The simulator can model handling capacity—the percentage of occupants moved within a five‑minute period—and waiting times (pdhonline.com), enabling engineers to evaluate whether a proposed configuration meets performance guidelines and occupant comfort targets. By experimenting with dispatch algorithms, elevator capacities and speeds, engineers can optimize workflows while confirming that reliability, redundancy and safety features are adequate; the result is a design that supports efficient movement of people and goods while complying with relevant codes and minimizing risk.</t>
  </si>
  <si>
    <t>1. Functional Requirements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</si>
</sst>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1"/>
      <color theme="1"/>
      <name val="Aptos Narrow"/>
      <family val="2"/>
      <scheme val="minor"/>
    </font>
    <font>
      <b/>
      <sz val="11"/>
      <color theme="1"/>
      <name val="Aptos Narrow"/>
      <family val="2"/>
      <scheme val="minor"/>
    </font>
    <font>
      <i/>
      <sz val="11"/>
      <color theme="1"/>
      <name val="Aptos Narrow"/>
      <family val="2"/>
      <scheme val="minor"/>
    </font>
    <font>
      <sz val="10"/>
      <color theme="1"/>
      <name val="Arial Unicode MS"/>
    </font>
    <font>
      <sz val="9"/>
      <color indexed="81"/>
      <name val="Tahoma"/>
    </font>
    <font>
      <b/>
      <sz val="9"/>
      <color indexed="81"/>
      <name val="Tahoma"/>
    </font>
    <font>
      <b/>
      <u/>
      <sz val="11"/>
      <color theme="1"/>
      <name val="Aptos Narrow"/>
      <family val="2"/>
      <scheme val="minor"/>
    </font>
    <font>
      <b/>
      <sz val="13.5"/>
      <color theme="1"/>
      <name val="Aptos Narrow"/>
      <family val="2"/>
      <scheme val="minor"/>
    </font>
    <font>
      <sz val="9"/>
      <color indexed="81"/>
      <name val="Tahoma"/>
      <family val="2"/>
    </font>
    <font>
      <b/>
      <sz val="9"/>
      <color indexed="81"/>
      <name val="Tahoma"/>
      <family val="2"/>
    </font>
    <font>
      <sz val="8"/>
      <name val="Aptos Narrow"/>
      <family val="2"/>
      <scheme val="minor"/>
    </font>
    <font>
      <sz val="9"/>
      <color indexed="81"/>
      <name val="Tahoma"/>
      <charset val="1"/>
    </font>
    <font>
      <b/>
      <sz val="9"/>
      <color indexed="81"/>
      <name val="Tahoma"/>
      <charset val="1"/>
    </font>
  </fonts>
  <fills count="4">
    <fill>
      <patternFill patternType="none"/>
    </fill>
    <fill>
      <patternFill patternType="gray125"/>
    </fill>
    <fill>
      <patternFill patternType="solid">
        <fgColor theme="0" tint="-0.14999847407452621"/>
        <bgColor indexed="64"/>
      </patternFill>
    </fill>
    <fill>
      <patternFill patternType="solid">
        <fgColor theme="0" tint="-0.249977111117893"/>
        <bgColor indexed="64"/>
      </patternFill>
    </fill>
  </fills>
  <borders count="1">
    <border>
      <left/>
      <right/>
      <top/>
      <bottom/>
      <diagonal/>
    </border>
  </borders>
  <cellStyleXfs count="1">
    <xf numFmtId="0" fontId="0" fillId="0" borderId="0"/>
  </cellStyleXfs>
  <cellXfs count="25">
    <xf numFmtId="0" fontId="0" fillId="0" borderId="0" xfId="0"/>
    <xf numFmtId="0" fontId="0" fillId="0" borderId="0" xfId="0" quotePrefix="1"/>
    <xf numFmtId="0" fontId="2" fillId="0" borderId="0" xfId="0" applyFont="1"/>
    <xf numFmtId="0" fontId="1" fillId="0" borderId="0" xfId="0" applyFont="1"/>
    <xf numFmtId="0" fontId="0" fillId="0" borderId="0" xfId="0" applyAlignment="1">
      <alignment wrapText="1"/>
    </xf>
    <xf numFmtId="0" fontId="1" fillId="0" borderId="0" xfId="0" applyFont="1" applyAlignment="1">
      <alignment wrapText="1"/>
    </xf>
    <xf numFmtId="0" fontId="0" fillId="0" borderId="0" xfId="0" applyAlignment="1">
      <alignment horizontal="left" wrapText="1"/>
    </xf>
    <xf numFmtId="0" fontId="1" fillId="0" borderId="0" xfId="0" applyFont="1" applyAlignment="1">
      <alignment horizontal="left" vertical="center" wrapText="1"/>
    </xf>
    <xf numFmtId="0" fontId="6" fillId="0" borderId="0" xfId="0" applyFont="1"/>
    <xf numFmtId="0" fontId="7" fillId="0" borderId="0" xfId="0" applyFont="1" applyAlignment="1">
      <alignment vertical="center"/>
    </xf>
    <xf numFmtId="0" fontId="0" fillId="0" borderId="0" xfId="0" applyAlignment="1">
      <alignment horizontal="left" vertical="center" indent="1"/>
    </xf>
    <xf numFmtId="0" fontId="1" fillId="0" borderId="0" xfId="0" applyFont="1" applyAlignment="1">
      <alignment horizontal="left" vertical="center" indent="1"/>
    </xf>
    <xf numFmtId="0" fontId="1" fillId="0" borderId="0" xfId="0" applyFont="1" applyAlignment="1">
      <alignment horizontal="right" vertical="center" indent="1"/>
    </xf>
    <xf numFmtId="0" fontId="1" fillId="0" borderId="0" xfId="0" quotePrefix="1" applyFont="1" applyAlignment="1">
      <alignment horizontal="right" vertical="center" indent="1"/>
    </xf>
    <xf numFmtId="0" fontId="0" fillId="0" borderId="0" xfId="0" applyAlignment="1">
      <alignment horizontal="right" vertical="center" indent="1"/>
    </xf>
    <xf numFmtId="0" fontId="0" fillId="0" borderId="0" xfId="0" applyAlignment="1">
      <alignment vertical="center" wrapText="1"/>
    </xf>
    <xf numFmtId="0" fontId="1" fillId="2" borderId="0" xfId="0" applyFont="1" applyFill="1"/>
    <xf numFmtId="0" fontId="0" fillId="2" borderId="0" xfId="0" applyFill="1"/>
    <xf numFmtId="0" fontId="1" fillId="3" borderId="0" xfId="0" applyFont="1" applyFill="1" applyAlignment="1">
      <alignment horizontal="center" vertical="center" wrapText="1"/>
    </xf>
    <xf numFmtId="0" fontId="0" fillId="0" borderId="0" xfId="0" applyAlignment="1">
      <alignment horizontal="left" wrapText="1"/>
    </xf>
    <xf numFmtId="0" fontId="0" fillId="0" borderId="0" xfId="0" quotePrefix="1" applyAlignment="1">
      <alignment horizontal="left" wrapText="1"/>
    </xf>
    <xf numFmtId="0" fontId="0" fillId="0" borderId="0" xfId="0" applyAlignment="1">
      <alignment horizontal="left" vertical="center" wrapText="1"/>
    </xf>
    <xf numFmtId="0" fontId="1" fillId="0" borderId="0" xfId="0" applyFont="1" applyAlignment="1">
      <alignment horizontal="left" vertical="center" wrapText="1"/>
    </xf>
    <xf numFmtId="0" fontId="0" fillId="0" borderId="0" xfId="0" applyAlignment="1">
      <alignment horizontal="left" vertical="top" wrapText="1"/>
    </xf>
    <xf numFmtId="0" fontId="1" fillId="0" borderId="0" xfId="0" applyFont="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B46D97-28EB-4B76-88B2-CC86E100D4BB}">
  <dimension ref="A1:G29"/>
  <sheetViews>
    <sheetView workbookViewId="0">
      <selection activeCell="D7" sqref="D7"/>
    </sheetView>
  </sheetViews>
  <sheetFormatPr defaultRowHeight="14.4"/>
  <cols>
    <col min="2" max="2" width="38.21875" bestFit="1" customWidth="1"/>
    <col min="3" max="3" width="27" customWidth="1"/>
    <col min="4" max="4" width="54.88671875" customWidth="1"/>
  </cols>
  <sheetData>
    <row r="1" spans="1:7" ht="18">
      <c r="A1" s="9" t="s">
        <v>360</v>
      </c>
    </row>
    <row r="2" spans="1:7">
      <c r="A2" s="10"/>
      <c r="C2" s="8" t="s">
        <v>298</v>
      </c>
    </row>
    <row r="3" spans="1:7">
      <c r="A3" s="12" t="str">
        <f>"1."</f>
        <v>1.</v>
      </c>
      <c r="B3" s="11" t="s">
        <v>365</v>
      </c>
      <c r="C3" t="s">
        <v>294</v>
      </c>
      <c r="D3" t="s">
        <v>296</v>
      </c>
      <c r="F3" t="s">
        <v>292</v>
      </c>
      <c r="G3" t="s">
        <v>293</v>
      </c>
    </row>
    <row r="4" spans="1:7">
      <c r="A4" s="14"/>
      <c r="B4" s="10"/>
      <c r="C4" t="s">
        <v>295</v>
      </c>
    </row>
    <row r="5" spans="1:7">
      <c r="D5" t="s">
        <v>18</v>
      </c>
    </row>
    <row r="6" spans="1:7">
      <c r="D6" t="s">
        <v>299</v>
      </c>
    </row>
    <row r="7" spans="1:7">
      <c r="D7" t="s">
        <v>300</v>
      </c>
    </row>
    <row r="8" spans="1:7">
      <c r="D8" t="s">
        <v>301</v>
      </c>
    </row>
    <row r="9" spans="1:7">
      <c r="D9" t="s">
        <v>302</v>
      </c>
    </row>
    <row r="10" spans="1:7">
      <c r="A10" s="12" t="str">
        <f>"2."</f>
        <v>2.</v>
      </c>
      <c r="B10" s="11" t="s">
        <v>364</v>
      </c>
      <c r="C10" t="s">
        <v>234</v>
      </c>
    </row>
    <row r="11" spans="1:7">
      <c r="A11" s="14"/>
      <c r="B11" s="10"/>
    </row>
    <row r="12" spans="1:7">
      <c r="A12" s="12" t="str">
        <f>"3."</f>
        <v>3.</v>
      </c>
      <c r="B12" s="11" t="s">
        <v>363</v>
      </c>
      <c r="C12" t="s">
        <v>235</v>
      </c>
    </row>
    <row r="13" spans="1:7">
      <c r="A13" s="14"/>
      <c r="B13" s="10"/>
    </row>
    <row r="14" spans="1:7">
      <c r="A14" s="12" t="str">
        <f>"4."</f>
        <v>4.</v>
      </c>
      <c r="B14" s="11" t="s">
        <v>362</v>
      </c>
      <c r="C14" t="s">
        <v>297</v>
      </c>
    </row>
    <row r="15" spans="1:7">
      <c r="A15" s="14"/>
      <c r="B15" s="10"/>
      <c r="C15" t="s">
        <v>236</v>
      </c>
      <c r="D15" t="s">
        <v>237</v>
      </c>
    </row>
    <row r="16" spans="1:7">
      <c r="A16" s="12" t="str">
        <f>"5."</f>
        <v>5.</v>
      </c>
      <c r="B16" s="11" t="s">
        <v>361</v>
      </c>
      <c r="C16" t="s">
        <v>291</v>
      </c>
    </row>
    <row r="20" spans="1:4" ht="30.6" customHeight="1">
      <c r="A20" s="19" t="s">
        <v>368</v>
      </c>
      <c r="B20" s="19"/>
      <c r="C20" s="19"/>
      <c r="D20" s="19"/>
    </row>
    <row r="21" spans="1:4">
      <c r="A21">
        <v>1</v>
      </c>
      <c r="B21" t="s">
        <v>366</v>
      </c>
    </row>
    <row r="22" spans="1:4">
      <c r="A22">
        <v>2</v>
      </c>
      <c r="B22" t="s">
        <v>367</v>
      </c>
    </row>
    <row r="23" spans="1:4">
      <c r="A23">
        <v>3</v>
      </c>
      <c r="B23" t="s">
        <v>371</v>
      </c>
    </row>
    <row r="24" spans="1:4">
      <c r="A24">
        <v>4</v>
      </c>
      <c r="B24" t="s">
        <v>375</v>
      </c>
    </row>
    <row r="25" spans="1:4">
      <c r="A25">
        <v>5</v>
      </c>
      <c r="B25" t="s">
        <v>369</v>
      </c>
    </row>
    <row r="26" spans="1:4">
      <c r="A26">
        <v>6</v>
      </c>
      <c r="B26" t="s">
        <v>370</v>
      </c>
    </row>
    <row r="27" spans="1:4">
      <c r="A27">
        <v>7</v>
      </c>
      <c r="B27" t="s">
        <v>372</v>
      </c>
    </row>
    <row r="28" spans="1:4">
      <c r="A28">
        <v>8</v>
      </c>
      <c r="B28" t="s">
        <v>373</v>
      </c>
    </row>
    <row r="29" spans="1:4">
      <c r="A29">
        <v>9</v>
      </c>
      <c r="B29" t="s">
        <v>374</v>
      </c>
    </row>
  </sheetData>
  <mergeCells count="1">
    <mergeCell ref="A20:D20"/>
  </mergeCells>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6042FD-E1B2-4BD8-8A70-8F04A9F11C16}">
  <dimension ref="A1:K75"/>
  <sheetViews>
    <sheetView topLeftCell="A56" workbookViewId="0">
      <selection activeCell="A63" sqref="A63:B70"/>
    </sheetView>
  </sheetViews>
  <sheetFormatPr defaultRowHeight="14.4"/>
  <cols>
    <col min="1" max="1" width="15.88671875" customWidth="1"/>
    <col min="2" max="2" width="14.109375" customWidth="1"/>
    <col min="3" max="3" width="36.44140625" customWidth="1"/>
    <col min="5" max="5" width="8.88671875" customWidth="1"/>
    <col min="10" max="10" width="15.33203125" customWidth="1"/>
  </cols>
  <sheetData>
    <row r="1" spans="1:11" ht="70.2" customHeight="1">
      <c r="A1" s="23" t="s">
        <v>303</v>
      </c>
      <c r="B1" s="23"/>
      <c r="C1" s="23"/>
      <c r="D1" s="23"/>
      <c r="E1" s="23"/>
      <c r="F1" s="23"/>
      <c r="G1" s="23"/>
      <c r="H1" s="23"/>
      <c r="I1" s="23"/>
      <c r="J1" s="23"/>
    </row>
    <row r="2" spans="1:11">
      <c r="A2" s="8" t="s">
        <v>304</v>
      </c>
    </row>
    <row r="3" spans="1:11" ht="73.8" customHeight="1">
      <c r="B3" s="19" t="s">
        <v>305</v>
      </c>
      <c r="C3" s="19"/>
      <c r="D3" s="19"/>
      <c r="E3" s="19"/>
      <c r="F3" s="19"/>
      <c r="G3" s="19"/>
      <c r="H3" s="19"/>
      <c r="I3" s="19"/>
      <c r="J3" s="19"/>
    </row>
    <row r="4" spans="1:11" ht="91.2" customHeight="1">
      <c r="B4" s="19" t="s">
        <v>380</v>
      </c>
      <c r="C4" s="19"/>
      <c r="D4" s="19"/>
      <c r="E4" s="19"/>
      <c r="F4" s="19"/>
      <c r="G4" s="19"/>
      <c r="H4" s="19"/>
      <c r="I4" s="19"/>
      <c r="J4" s="19"/>
    </row>
    <row r="5" spans="1:11" ht="52.8" customHeight="1">
      <c r="B5" s="19" t="s">
        <v>379</v>
      </c>
      <c r="C5" s="19"/>
      <c r="D5" s="19"/>
      <c r="E5" s="19"/>
      <c r="F5" s="19"/>
      <c r="G5" s="19"/>
      <c r="H5" s="19"/>
      <c r="I5" s="19"/>
      <c r="J5" s="19"/>
    </row>
    <row r="7" spans="1:11">
      <c r="A7" s="8" t="s">
        <v>306</v>
      </c>
    </row>
    <row r="8" spans="1:11" ht="112.2" customHeight="1">
      <c r="B8" s="19" t="str">
        <f>_xlfn._LONGTEXT("By analysing wait‑time distributions under different arrival rates, elevator counts and dispatch policies, AEC companies can size elevator systems so that less than 5 % of guests wait longer than one minute. This protects guest experience and throughput; ","the same methodology can later be adapted to attraction queues and park‑wide crowd‑flow analyses. Industry guidance suggests average elevator wait times in academic office buildings should not exceed 28–35 (")&amp;Sources!A2&amp;"), and grade‑A office buildings aim for roughly 20 s ("&amp; Sources!A3 &amp;"). Hence setting a 95th‑percentile wait‑time target of 60 s provides a clear performance measure aligned with recognized service levels."</f>
        <v>By analysing wait‑time distributions under different arrival rates, elevator counts and dispatch policies, AEC companies can size elevator systems so that less than 5 % of guests wait longer than one minute. This protects guest experience and throughput; the same methodology can later be adapted to attraction queues and park‑wide crowd‑flow analyses. Industry guidance suggests average elevator wait times in academic office buildings should not exceed 28–35 (SRC-01), and grade‑A office buildings aim for roughly 20 s (SRC-02). Hence setting a 95th‑percentile wait‑time target of 60 s provides a clear performance measure aligned with recognized service levels.</v>
      </c>
      <c r="C8" s="19"/>
      <c r="D8" s="19"/>
      <c r="E8" s="19"/>
      <c r="F8" s="19"/>
      <c r="G8" s="19"/>
      <c r="H8" s="19"/>
      <c r="I8" s="19"/>
      <c r="J8" s="19"/>
    </row>
    <row r="9" spans="1:11" ht="166.2" customHeight="1">
      <c r="B9" s="19" t="s">
        <v>381</v>
      </c>
      <c r="C9" s="19"/>
      <c r="D9" s="19"/>
      <c r="E9" s="19"/>
      <c r="F9" s="19"/>
      <c r="G9" s="19"/>
      <c r="H9" s="19"/>
      <c r="I9" s="19"/>
      <c r="J9" s="19"/>
    </row>
    <row r="10" spans="1:11" ht="112.2" customHeight="1">
      <c r="B10" s="6"/>
      <c r="C10" s="6"/>
      <c r="D10" s="6"/>
      <c r="E10" s="6"/>
      <c r="F10" s="6"/>
      <c r="G10" s="6"/>
      <c r="H10" s="6"/>
      <c r="I10" s="6"/>
      <c r="J10" s="6"/>
    </row>
    <row r="12" spans="1:11">
      <c r="A12" s="8" t="s">
        <v>325</v>
      </c>
    </row>
    <row r="13" spans="1:11" ht="28.8" customHeight="1">
      <c r="B13" s="24" t="s">
        <v>17</v>
      </c>
      <c r="C13" s="24"/>
      <c r="D13" s="24"/>
      <c r="E13" s="24" t="s">
        <v>311</v>
      </c>
      <c r="F13" s="24"/>
      <c r="G13" s="24"/>
      <c r="H13" s="24"/>
      <c r="I13" s="24" t="s">
        <v>312</v>
      </c>
      <c r="J13" s="24"/>
      <c r="K13" s="24"/>
    </row>
    <row r="14" spans="1:11" ht="87.6" customHeight="1">
      <c r="B14" s="22" t="s">
        <v>313</v>
      </c>
      <c r="C14" s="22"/>
      <c r="D14" s="22"/>
      <c r="E14" s="21" t="s">
        <v>314</v>
      </c>
      <c r="F14" s="21"/>
      <c r="G14" s="21"/>
      <c r="H14" s="21"/>
      <c r="I14" s="21" t="s">
        <v>315</v>
      </c>
      <c r="J14" s="21"/>
      <c r="K14" s="21"/>
    </row>
    <row r="15" spans="1:11" ht="35.4" customHeight="1">
      <c r="B15" s="7"/>
      <c r="C15" s="7"/>
      <c r="D15" s="7"/>
      <c r="E15" s="21" t="s">
        <v>389</v>
      </c>
      <c r="F15" s="21"/>
      <c r="G15" s="21"/>
      <c r="H15" s="21"/>
      <c r="I15" s="21" t="s">
        <v>390</v>
      </c>
      <c r="J15" s="21"/>
      <c r="K15" s="21"/>
    </row>
    <row r="16" spans="1:11" ht="35.4" customHeight="1">
      <c r="B16" s="22" t="s">
        <v>391</v>
      </c>
      <c r="C16" s="22"/>
      <c r="D16" s="22"/>
      <c r="E16" s="21" t="s">
        <v>392</v>
      </c>
      <c r="F16" s="21"/>
      <c r="G16" s="21"/>
      <c r="H16" s="21"/>
      <c r="I16" s="21" t="s">
        <v>393</v>
      </c>
      <c r="J16" s="21"/>
      <c r="K16" s="21"/>
    </row>
    <row r="17" spans="1:11" ht="58.2" customHeight="1">
      <c r="B17" s="22" t="s">
        <v>324</v>
      </c>
      <c r="C17" s="22"/>
      <c r="D17" s="22"/>
      <c r="E17" s="21" t="s">
        <v>316</v>
      </c>
      <c r="F17" s="21"/>
      <c r="G17" s="21"/>
      <c r="H17" s="21"/>
      <c r="I17" s="21" t="s">
        <v>317</v>
      </c>
      <c r="J17" s="21" t="s">
        <v>317</v>
      </c>
      <c r="K17" s="21"/>
    </row>
    <row r="18" spans="1:11" ht="37.799999999999997" customHeight="1">
      <c r="B18" s="22" t="s">
        <v>394</v>
      </c>
      <c r="C18" s="22"/>
      <c r="D18" s="22"/>
      <c r="E18" s="21" t="s">
        <v>395</v>
      </c>
      <c r="F18" s="21" t="s">
        <v>320</v>
      </c>
      <c r="G18" s="21"/>
      <c r="H18" s="21"/>
      <c r="I18" s="21" t="s">
        <v>396</v>
      </c>
      <c r="J18" s="21" t="s">
        <v>320</v>
      </c>
      <c r="K18" s="21"/>
    </row>
    <row r="19" spans="1:11" ht="108" customHeight="1">
      <c r="B19" s="22" t="s">
        <v>318</v>
      </c>
      <c r="C19" s="22"/>
      <c r="D19" s="22"/>
      <c r="E19" s="21" t="s">
        <v>319</v>
      </c>
      <c r="F19" s="21" t="s">
        <v>320</v>
      </c>
      <c r="G19" s="21"/>
      <c r="H19" s="21"/>
      <c r="I19" s="21" t="s">
        <v>320</v>
      </c>
      <c r="J19" s="21" t="s">
        <v>320</v>
      </c>
      <c r="K19" s="21"/>
    </row>
    <row r="20" spans="1:11" ht="61.2" customHeight="1">
      <c r="B20" s="22" t="s">
        <v>321</v>
      </c>
      <c r="C20" s="22"/>
      <c r="D20" s="22"/>
      <c r="E20" s="21" t="s">
        <v>322</v>
      </c>
      <c r="F20" s="21" t="s">
        <v>323</v>
      </c>
      <c r="G20" s="21"/>
      <c r="H20" s="21"/>
      <c r="I20" s="21" t="s">
        <v>323</v>
      </c>
      <c r="J20" s="21" t="s">
        <v>323</v>
      </c>
      <c r="K20" s="21"/>
    </row>
    <row r="22" spans="1:11" ht="18">
      <c r="A22" s="9" t="s">
        <v>326</v>
      </c>
    </row>
    <row r="23" spans="1:11">
      <c r="A23" s="10"/>
    </row>
    <row r="24" spans="1:11" ht="28.8">
      <c r="A24" s="4" t="s">
        <v>382</v>
      </c>
      <c r="B24" s="6"/>
      <c r="C24" s="6"/>
      <c r="D24" s="6"/>
      <c r="E24" s="6"/>
      <c r="F24" s="6"/>
      <c r="G24" s="6"/>
      <c r="H24" s="6"/>
      <c r="I24" s="6"/>
      <c r="J24" s="6"/>
    </row>
    <row r="25" spans="1:11" ht="34.200000000000003" customHeight="1">
      <c r="A25" s="4"/>
      <c r="B25" s="20" t="s">
        <v>384</v>
      </c>
      <c r="C25" s="19"/>
      <c r="D25" s="19"/>
      <c r="E25" s="19"/>
      <c r="F25" s="19"/>
      <c r="G25" s="19"/>
      <c r="H25" s="19"/>
      <c r="I25" s="19"/>
      <c r="J25" s="19"/>
    </row>
    <row r="26" spans="1:11" ht="39" customHeight="1">
      <c r="A26" s="4"/>
      <c r="B26" s="20" t="s">
        <v>385</v>
      </c>
      <c r="C26" s="19"/>
      <c r="D26" s="19"/>
      <c r="E26" s="19"/>
      <c r="F26" s="19"/>
      <c r="G26" s="19"/>
      <c r="H26" s="19"/>
      <c r="I26" s="19"/>
      <c r="J26" s="19"/>
    </row>
    <row r="27" spans="1:11" ht="75.599999999999994" customHeight="1">
      <c r="A27" s="4"/>
      <c r="B27" s="20" t="s">
        <v>386</v>
      </c>
      <c r="C27" s="19"/>
      <c r="D27" s="19"/>
      <c r="E27" s="19"/>
      <c r="F27" s="19"/>
      <c r="G27" s="19"/>
      <c r="H27" s="19"/>
      <c r="I27" s="19"/>
      <c r="J27" s="19"/>
    </row>
    <row r="28" spans="1:11" ht="36" customHeight="1">
      <c r="A28" s="4"/>
      <c r="B28" s="20" t="s">
        <v>388</v>
      </c>
      <c r="C28" s="19"/>
      <c r="D28" s="19"/>
      <c r="E28" s="19"/>
      <c r="F28" s="19"/>
      <c r="G28" s="19"/>
      <c r="H28" s="19"/>
      <c r="I28" s="19"/>
      <c r="J28" s="19"/>
    </row>
    <row r="29" spans="1:11" ht="40.200000000000003" customHeight="1">
      <c r="A29" s="4"/>
      <c r="B29" s="20" t="s">
        <v>387</v>
      </c>
      <c r="C29" s="19"/>
      <c r="D29" s="19"/>
      <c r="E29" s="19"/>
      <c r="F29" s="19"/>
      <c r="G29" s="19"/>
      <c r="H29" s="19"/>
      <c r="I29" s="19"/>
      <c r="J29" s="19"/>
    </row>
    <row r="30" spans="1:11">
      <c r="A30" s="4"/>
      <c r="B30" s="6"/>
      <c r="C30" s="6"/>
      <c r="D30" s="6"/>
      <c r="E30" s="6"/>
      <c r="F30" s="6"/>
      <c r="G30" s="6"/>
      <c r="H30" s="6"/>
      <c r="I30" s="6"/>
      <c r="J30" s="6"/>
    </row>
    <row r="31" spans="1:11">
      <c r="A31" s="4" t="s">
        <v>383</v>
      </c>
      <c r="B31" s="6"/>
      <c r="C31" s="6"/>
      <c r="D31" s="6"/>
      <c r="E31" s="6"/>
      <c r="F31" s="6"/>
      <c r="G31" s="6"/>
      <c r="H31" s="6"/>
      <c r="I31" s="6"/>
      <c r="J31" s="6"/>
    </row>
    <row r="32" spans="1:11">
      <c r="B32" s="11" t="s">
        <v>330</v>
      </c>
      <c r="C32" s="11" t="s">
        <v>331</v>
      </c>
    </row>
    <row r="33" spans="1:3">
      <c r="B33" s="10"/>
      <c r="C33" s="10" t="str">
        <f>"Evaluate how many elevators are needed to keep the 95th‑percentile wait time below one minute and maintain average wait times close to recommended levels (20–35) ("&amp; Sources!A3 &amp;")."</f>
        <v>Evaluate how many elevators are needed to keep the 95th‑percentile wait time below one minute and maintain average wait times close to recommended levels (20–35) (SRC-02).</v>
      </c>
    </row>
    <row r="34" spans="1:3">
      <c r="B34" s="11" t="s">
        <v>329</v>
      </c>
      <c r="C34" s="11" t="s">
        <v>332</v>
      </c>
    </row>
    <row r="35" spans="1:3">
      <c r="B35" s="10"/>
      <c r="C35" s="10" t="s">
        <v>334</v>
      </c>
    </row>
    <row r="36" spans="1:3">
      <c r="B36" s="11" t="s">
        <v>328</v>
      </c>
      <c r="C36" s="11" t="s">
        <v>333</v>
      </c>
    </row>
    <row r="37" spans="1:3">
      <c r="B37" s="10"/>
      <c r="C37" s="10" t="s">
        <v>335</v>
      </c>
    </row>
    <row r="38" spans="1:3">
      <c r="B38" s="11" t="s">
        <v>327</v>
      </c>
      <c r="C38" s="11" t="s">
        <v>336</v>
      </c>
    </row>
    <row r="39" spans="1:3">
      <c r="C39" s="10" t="s">
        <v>337</v>
      </c>
    </row>
    <row r="42" spans="1:3" ht="18">
      <c r="A42" s="9" t="s">
        <v>351</v>
      </c>
    </row>
    <row r="44" spans="1:3">
      <c r="A44" t="s">
        <v>338</v>
      </c>
    </row>
    <row r="45" spans="1:3">
      <c r="A45" s="10"/>
    </row>
    <row r="46" spans="1:3">
      <c r="A46" s="13" t="s">
        <v>339</v>
      </c>
      <c r="B46" s="11" t="s">
        <v>343</v>
      </c>
    </row>
    <row r="47" spans="1:3">
      <c r="A47" s="10"/>
      <c r="B47" s="10" t="s">
        <v>359</v>
      </c>
    </row>
    <row r="48" spans="1:3">
      <c r="A48" s="10"/>
      <c r="B48" s="10" t="s">
        <v>347</v>
      </c>
    </row>
    <row r="49" spans="1:2">
      <c r="A49" s="10"/>
      <c r="B49" s="10" t="s">
        <v>348</v>
      </c>
    </row>
    <row r="50" spans="1:2">
      <c r="A50" s="10"/>
      <c r="B50" s="10" t="s">
        <v>349</v>
      </c>
    </row>
    <row r="51" spans="1:2">
      <c r="A51" s="13" t="s">
        <v>340</v>
      </c>
      <c r="B51" s="11" t="s">
        <v>344</v>
      </c>
    </row>
    <row r="52" spans="1:2">
      <c r="A52" s="10"/>
      <c r="B52" s="10" t="s">
        <v>358</v>
      </c>
    </row>
    <row r="53" spans="1:2">
      <c r="A53" s="10"/>
      <c r="B53" s="10" t="s">
        <v>350</v>
      </c>
    </row>
    <row r="54" spans="1:2">
      <c r="A54" s="13" t="s">
        <v>341</v>
      </c>
      <c r="B54" s="11" t="s">
        <v>345</v>
      </c>
    </row>
    <row r="55" spans="1:2">
      <c r="A55" s="10"/>
      <c r="B55" s="10" t="s">
        <v>352</v>
      </c>
    </row>
    <row r="56" spans="1:2">
      <c r="A56" s="10"/>
      <c r="B56" s="10" t="s">
        <v>353</v>
      </c>
    </row>
    <row r="57" spans="1:2">
      <c r="A57" s="10"/>
      <c r="B57" s="10" t="s">
        <v>354</v>
      </c>
    </row>
    <row r="58" spans="1:2">
      <c r="A58" s="13" t="s">
        <v>342</v>
      </c>
      <c r="B58" s="11" t="s">
        <v>346</v>
      </c>
    </row>
    <row r="59" spans="1:2">
      <c r="B59" t="s">
        <v>355</v>
      </c>
    </row>
    <row r="60" spans="1:2">
      <c r="B60" t="s">
        <v>356</v>
      </c>
    </row>
    <row r="61" spans="1:2">
      <c r="B61" t="s">
        <v>357</v>
      </c>
    </row>
    <row r="63" spans="1:2" ht="18">
      <c r="A63" s="9" t="s">
        <v>401</v>
      </c>
    </row>
    <row r="65" spans="1:2">
      <c r="A65" t="s">
        <v>338</v>
      </c>
    </row>
    <row r="66" spans="1:2">
      <c r="A66" s="10"/>
    </row>
    <row r="67" spans="1:2">
      <c r="A67" s="13" t="s">
        <v>339</v>
      </c>
      <c r="B67" s="11" t="s">
        <v>397</v>
      </c>
    </row>
    <row r="68" spans="1:2">
      <c r="A68" s="13" t="s">
        <v>340</v>
      </c>
      <c r="B68" s="11" t="s">
        <v>398</v>
      </c>
    </row>
    <row r="69" spans="1:2">
      <c r="A69" s="13" t="s">
        <v>341</v>
      </c>
      <c r="B69" s="11" t="s">
        <v>399</v>
      </c>
    </row>
    <row r="70" spans="1:2">
      <c r="A70" s="13" t="s">
        <v>342</v>
      </c>
      <c r="B70" s="11" t="s">
        <v>400</v>
      </c>
    </row>
    <row r="72" spans="1:2">
      <c r="A72" s="10"/>
    </row>
    <row r="73" spans="1:2">
      <c r="A73" s="10"/>
    </row>
    <row r="74" spans="1:2">
      <c r="A74" s="10"/>
    </row>
    <row r="75" spans="1:2">
      <c r="A75" s="10"/>
    </row>
  </sheetData>
  <mergeCells count="34">
    <mergeCell ref="I17:K17"/>
    <mergeCell ref="B17:D17"/>
    <mergeCell ref="B20:D20"/>
    <mergeCell ref="E20:H20"/>
    <mergeCell ref="E19:H19"/>
    <mergeCell ref="E14:H14"/>
    <mergeCell ref="B13:D13"/>
    <mergeCell ref="E13:H13"/>
    <mergeCell ref="E17:H17"/>
    <mergeCell ref="A1:J1"/>
    <mergeCell ref="B3:J3"/>
    <mergeCell ref="B8:J8"/>
    <mergeCell ref="B14:D14"/>
    <mergeCell ref="B4:J4"/>
    <mergeCell ref="B5:J5"/>
    <mergeCell ref="B9:J9"/>
    <mergeCell ref="I13:K13"/>
    <mergeCell ref="I14:K14"/>
    <mergeCell ref="B28:J28"/>
    <mergeCell ref="B29:J29"/>
    <mergeCell ref="E15:H15"/>
    <mergeCell ref="I15:K15"/>
    <mergeCell ref="B16:D16"/>
    <mergeCell ref="E16:H16"/>
    <mergeCell ref="I16:K16"/>
    <mergeCell ref="B18:D18"/>
    <mergeCell ref="E18:H18"/>
    <mergeCell ref="I18:K18"/>
    <mergeCell ref="I19:K19"/>
    <mergeCell ref="I20:K20"/>
    <mergeCell ref="B27:J27"/>
    <mergeCell ref="B25:J25"/>
    <mergeCell ref="B26:J26"/>
    <mergeCell ref="B19:D19"/>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82CF21-4C9F-4B5C-96E5-79710E112BC7}">
  <dimension ref="A1:D9"/>
  <sheetViews>
    <sheetView topLeftCell="A5" workbookViewId="0">
      <selection sqref="A1:D8"/>
    </sheetView>
  </sheetViews>
  <sheetFormatPr defaultRowHeight="14.4"/>
  <cols>
    <col min="1" max="1" width="22.6640625" bestFit="1" customWidth="1"/>
    <col min="2" max="2" width="28.88671875" bestFit="1" customWidth="1"/>
    <col min="3" max="3" width="84.88671875" customWidth="1"/>
    <col min="4" max="4" width="168.109375" bestFit="1" customWidth="1"/>
  </cols>
  <sheetData>
    <row r="1" spans="1:4" ht="18">
      <c r="A1" s="9" t="s">
        <v>295</v>
      </c>
    </row>
    <row r="2" spans="1:4">
      <c r="A2" s="10"/>
      <c r="C2" s="8" t="s">
        <v>298</v>
      </c>
    </row>
    <row r="3" spans="1:4" ht="216">
      <c r="A3" s="12" t="str">
        <f>"1."</f>
        <v>1.</v>
      </c>
      <c r="B3" s="11" t="s">
        <v>402</v>
      </c>
      <c r="C3" s="4" t="s">
        <v>538</v>
      </c>
      <c r="D3" s="4" t="s">
        <v>406</v>
      </c>
    </row>
    <row r="4" spans="1:4" ht="158.4">
      <c r="A4" s="12" t="str">
        <f>"2."</f>
        <v>2.</v>
      </c>
      <c r="B4" s="11" t="s">
        <v>18</v>
      </c>
      <c r="C4" s="4" t="s">
        <v>539</v>
      </c>
      <c r="D4" s="4" t="s">
        <v>405</v>
      </c>
    </row>
    <row r="5" spans="1:4" ht="230.4">
      <c r="A5" s="12" t="str">
        <f>"3."</f>
        <v>3.</v>
      </c>
      <c r="B5" s="11" t="s">
        <v>301</v>
      </c>
      <c r="C5" s="4" t="s">
        <v>540</v>
      </c>
    </row>
    <row r="6" spans="1:4" ht="216">
      <c r="A6" s="12" t="str">
        <f>"4."</f>
        <v>4.</v>
      </c>
      <c r="B6" s="11" t="s">
        <v>403</v>
      </c>
      <c r="C6" s="4" t="s">
        <v>537</v>
      </c>
    </row>
    <row r="7" spans="1:4">
      <c r="A7" s="12" t="str">
        <f>"5."</f>
        <v>5.</v>
      </c>
      <c r="B7" s="11" t="s">
        <v>404</v>
      </c>
      <c r="C7" s="4"/>
    </row>
    <row r="8" spans="1:4">
      <c r="A8" s="12" t="str">
        <f>"6."</f>
        <v>6.</v>
      </c>
      <c r="B8" s="11" t="s">
        <v>302</v>
      </c>
      <c r="C8" s="1"/>
    </row>
    <row r="9" spans="1:4">
      <c r="A9" s="12"/>
      <c r="B9" s="11"/>
      <c r="C9" s="1"/>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610F7B-5DB1-422F-8889-F7A5F6E88F08}">
  <sheetPr codeName="Sheet1"/>
  <dimension ref="A1:C11"/>
  <sheetViews>
    <sheetView tabSelected="1" workbookViewId="0">
      <selection activeCell="C15" sqref="C15:C16"/>
    </sheetView>
  </sheetViews>
  <sheetFormatPr defaultRowHeight="14.4"/>
  <cols>
    <col min="1" max="1" width="18.109375" bestFit="1" customWidth="1"/>
    <col min="2" max="2" width="79" bestFit="1" customWidth="1"/>
  </cols>
  <sheetData>
    <row r="1" spans="1:3">
      <c r="A1" t="s">
        <v>17</v>
      </c>
      <c r="B1" t="s">
        <v>408</v>
      </c>
      <c r="C1" t="s">
        <v>409</v>
      </c>
    </row>
    <row r="3" spans="1:3">
      <c r="B3" t="s">
        <v>407</v>
      </c>
      <c r="C3" t="s">
        <v>410</v>
      </c>
    </row>
    <row r="4" spans="1:3">
      <c r="B4" t="s">
        <v>411</v>
      </c>
      <c r="C4" t="s">
        <v>412</v>
      </c>
    </row>
    <row r="5" spans="1:3">
      <c r="B5" t="s">
        <v>413</v>
      </c>
      <c r="C5" t="s">
        <v>414</v>
      </c>
    </row>
    <row r="6" spans="1:3">
      <c r="B6" t="s">
        <v>415</v>
      </c>
      <c r="C6" t="s">
        <v>416</v>
      </c>
    </row>
    <row r="7" spans="1:3">
      <c r="B7" t="s">
        <v>417</v>
      </c>
      <c r="C7" t="s">
        <v>418</v>
      </c>
    </row>
    <row r="8" spans="1:3">
      <c r="B8" t="s">
        <v>419</v>
      </c>
      <c r="C8" t="s">
        <v>420</v>
      </c>
    </row>
    <row r="9" spans="1:3">
      <c r="B9" t="s">
        <v>421</v>
      </c>
      <c r="C9" t="s">
        <v>422</v>
      </c>
    </row>
    <row r="10" spans="1:3">
      <c r="B10" t="s">
        <v>423</v>
      </c>
      <c r="C10" t="s">
        <v>424</v>
      </c>
    </row>
    <row r="11" spans="1:3">
      <c r="B11" t="s">
        <v>425</v>
      </c>
      <c r="C11" t="s">
        <v>426</v>
      </c>
    </row>
  </sheetData>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F18407-3911-466D-A7AC-0E44A9BE014A}">
  <sheetPr codeName="Sheet2"/>
  <dimension ref="A1:E186"/>
  <sheetViews>
    <sheetView workbookViewId="0">
      <selection activeCell="B20" sqref="B20"/>
    </sheetView>
  </sheetViews>
  <sheetFormatPr defaultRowHeight="14.4"/>
  <cols>
    <col min="1" max="1" width="15.44140625" customWidth="1"/>
    <col min="2" max="2" width="121.44140625" customWidth="1"/>
    <col min="3" max="3" width="21.77734375" customWidth="1"/>
    <col min="4" max="4" width="35.77734375" customWidth="1"/>
  </cols>
  <sheetData>
    <row r="1" spans="1:4">
      <c r="A1" s="18" t="s">
        <v>427</v>
      </c>
      <c r="B1" s="18" t="s">
        <v>430</v>
      </c>
      <c r="C1" s="18" t="s">
        <v>431</v>
      </c>
      <c r="D1" s="18" t="s">
        <v>432</v>
      </c>
    </row>
    <row r="2" spans="1:4">
      <c r="A2" s="16" t="s">
        <v>541</v>
      </c>
      <c r="B2" s="17"/>
      <c r="C2" s="17"/>
      <c r="D2" s="17"/>
    </row>
    <row r="3" spans="1:4" ht="28.8">
      <c r="A3" s="15" t="s">
        <v>483</v>
      </c>
      <c r="B3" s="15" t="s">
        <v>19</v>
      </c>
      <c r="C3" s="15" t="s">
        <v>434</v>
      </c>
      <c r="D3" s="15" t="s">
        <v>435</v>
      </c>
    </row>
    <row r="4" spans="1:4">
      <c r="A4" s="15" t="s">
        <v>533</v>
      </c>
      <c r="B4" s="15" t="s">
        <v>433</v>
      </c>
      <c r="C4" s="15" t="s">
        <v>434</v>
      </c>
      <c r="D4" s="15" t="s">
        <v>435</v>
      </c>
    </row>
    <row r="5" spans="1:4" ht="28.8">
      <c r="A5" s="15" t="s">
        <v>534</v>
      </c>
      <c r="B5" s="15" t="s">
        <v>535</v>
      </c>
      <c r="C5" s="15"/>
      <c r="D5" s="15"/>
    </row>
    <row r="6" spans="1:4">
      <c r="A6" s="15" t="s">
        <v>484</v>
      </c>
      <c r="B6" s="15" t="s">
        <v>436</v>
      </c>
      <c r="C6" s="15" t="s">
        <v>429</v>
      </c>
      <c r="D6" s="15" t="s">
        <v>437</v>
      </c>
    </row>
    <row r="7" spans="1:4" ht="28.8">
      <c r="A7" s="15" t="s">
        <v>485</v>
      </c>
      <c r="B7" s="15" t="s">
        <v>438</v>
      </c>
      <c r="C7" s="15" t="s">
        <v>439</v>
      </c>
      <c r="D7" s="15" t="s">
        <v>440</v>
      </c>
    </row>
    <row r="8" spans="1:4">
      <c r="A8" s="15" t="s">
        <v>486</v>
      </c>
      <c r="B8" s="15" t="s">
        <v>441</v>
      </c>
      <c r="C8" s="15" t="s">
        <v>442</v>
      </c>
      <c r="D8" s="15" t="s">
        <v>443</v>
      </c>
    </row>
    <row r="9" spans="1:4">
      <c r="A9" s="15" t="s">
        <v>487</v>
      </c>
      <c r="B9" s="15" t="s">
        <v>444</v>
      </c>
      <c r="C9" s="15" t="s">
        <v>429</v>
      </c>
      <c r="D9" s="15" t="s">
        <v>445</v>
      </c>
    </row>
    <row r="10" spans="1:4">
      <c r="A10" s="15" t="s">
        <v>488</v>
      </c>
      <c r="B10" s="15" t="s">
        <v>446</v>
      </c>
      <c r="C10" s="15" t="s">
        <v>429</v>
      </c>
      <c r="D10" s="15" t="s">
        <v>447</v>
      </c>
    </row>
    <row r="11" spans="1:4">
      <c r="A11" s="15" t="s">
        <v>528</v>
      </c>
      <c r="B11" s="15" t="s">
        <v>527</v>
      </c>
      <c r="C11" s="15"/>
      <c r="D11" s="15"/>
    </row>
    <row r="12" spans="1:4">
      <c r="A12" s="15" t="s">
        <v>530</v>
      </c>
      <c r="B12" s="15" t="s">
        <v>529</v>
      </c>
      <c r="C12" s="15"/>
      <c r="D12" s="15"/>
    </row>
    <row r="13" spans="1:4">
      <c r="A13" s="15" t="s">
        <v>532</v>
      </c>
      <c r="B13" s="15" t="s">
        <v>531</v>
      </c>
      <c r="C13" s="15"/>
      <c r="D13" s="15"/>
    </row>
    <row r="14" spans="1:4">
      <c r="A14" s="15" t="s">
        <v>489</v>
      </c>
      <c r="B14" s="15" t="s">
        <v>448</v>
      </c>
      <c r="C14" s="15" t="s">
        <v>449</v>
      </c>
      <c r="D14" s="15" t="s">
        <v>450</v>
      </c>
    </row>
    <row r="15" spans="1:4">
      <c r="A15" s="15" t="s">
        <v>490</v>
      </c>
      <c r="B15" s="15" t="s">
        <v>451</v>
      </c>
      <c r="C15" s="15" t="s">
        <v>449</v>
      </c>
      <c r="D15" s="15" t="s">
        <v>452</v>
      </c>
    </row>
    <row r="16" spans="1:4">
      <c r="A16" s="15" t="s">
        <v>503</v>
      </c>
      <c r="B16" s="15" t="s">
        <v>453</v>
      </c>
      <c r="C16" s="15" t="s">
        <v>454</v>
      </c>
      <c r="D16" s="15" t="s">
        <v>455</v>
      </c>
    </row>
    <row r="17" spans="1:4">
      <c r="A17" s="15" t="s">
        <v>508</v>
      </c>
      <c r="B17" s="15" t="s">
        <v>504</v>
      </c>
      <c r="C17" s="15" t="s">
        <v>454</v>
      </c>
      <c r="D17" s="15" t="s">
        <v>455</v>
      </c>
    </row>
    <row r="18" spans="1:4" ht="28.8">
      <c r="A18" s="15" t="s">
        <v>509</v>
      </c>
      <c r="B18" s="15" t="s">
        <v>22</v>
      </c>
      <c r="C18" s="15" t="s">
        <v>454</v>
      </c>
      <c r="D18" s="15" t="s">
        <v>455</v>
      </c>
    </row>
    <row r="20" spans="1:4">
      <c r="A20" s="15" t="s">
        <v>510</v>
      </c>
      <c r="B20" t="s">
        <v>88</v>
      </c>
    </row>
    <row r="21" spans="1:4">
      <c r="C21" t="s">
        <v>183</v>
      </c>
      <c r="D21" t="s">
        <v>184</v>
      </c>
    </row>
    <row r="22" spans="1:4">
      <c r="C22" t="s">
        <v>177</v>
      </c>
      <c r="D22" t="s">
        <v>173</v>
      </c>
    </row>
    <row r="23" spans="1:4">
      <c r="C23" t="s">
        <v>178</v>
      </c>
      <c r="D23" t="s">
        <v>174</v>
      </c>
    </row>
    <row r="24" spans="1:4">
      <c r="C24" t="s">
        <v>179</v>
      </c>
      <c r="D24" t="s">
        <v>175</v>
      </c>
    </row>
    <row r="25" spans="1:4">
      <c r="C25" t="s">
        <v>180</v>
      </c>
      <c r="D25" t="s">
        <v>176</v>
      </c>
    </row>
    <row r="26" spans="1:4">
      <c r="C26" t="s">
        <v>181</v>
      </c>
      <c r="D26" t="s">
        <v>182</v>
      </c>
    </row>
    <row r="28" spans="1:4">
      <c r="A28" s="16" t="s">
        <v>480</v>
      </c>
      <c r="B28" s="17"/>
      <c r="C28" s="17"/>
      <c r="D28" s="17"/>
    </row>
    <row r="29" spans="1:4">
      <c r="A29" s="15" t="s">
        <v>491</v>
      </c>
      <c r="B29" s="15" t="s">
        <v>456</v>
      </c>
      <c r="C29" s="15" t="s">
        <v>428</v>
      </c>
      <c r="D29" s="15" t="s">
        <v>457</v>
      </c>
    </row>
    <row r="30" spans="1:4">
      <c r="A30" s="15" t="s">
        <v>492</v>
      </c>
      <c r="B30" s="15" t="s">
        <v>458</v>
      </c>
      <c r="C30" s="15" t="s">
        <v>449</v>
      </c>
      <c r="D30" s="15" t="s">
        <v>459</v>
      </c>
    </row>
    <row r="31" spans="1:4">
      <c r="A31" s="15" t="s">
        <v>493</v>
      </c>
      <c r="B31" s="15" t="s">
        <v>460</v>
      </c>
      <c r="C31" s="15" t="s">
        <v>454</v>
      </c>
      <c r="D31" s="15" t="s">
        <v>461</v>
      </c>
    </row>
    <row r="32" spans="1:4" ht="28.8">
      <c r="A32" s="15" t="s">
        <v>494</v>
      </c>
      <c r="B32" s="15" t="s">
        <v>462</v>
      </c>
      <c r="C32" s="15" t="s">
        <v>463</v>
      </c>
      <c r="D32" s="15" t="s">
        <v>464</v>
      </c>
    </row>
    <row r="33" spans="1:4" ht="28.8">
      <c r="A33" s="15" t="s">
        <v>505</v>
      </c>
      <c r="B33" s="15" t="s">
        <v>20</v>
      </c>
      <c r="C33" s="15" t="s">
        <v>463</v>
      </c>
      <c r="D33" s="15" t="s">
        <v>464</v>
      </c>
    </row>
    <row r="35" spans="1:4">
      <c r="A35" s="16" t="s">
        <v>481</v>
      </c>
      <c r="B35" s="17"/>
      <c r="C35" s="17"/>
      <c r="D35" s="17"/>
    </row>
    <row r="36" spans="1:4">
      <c r="A36" s="15" t="s">
        <v>495</v>
      </c>
      <c r="B36" s="15" t="s">
        <v>511</v>
      </c>
    </row>
    <row r="37" spans="1:4" ht="28.8">
      <c r="A37" s="15" t="s">
        <v>495</v>
      </c>
      <c r="B37" s="15" t="s">
        <v>465</v>
      </c>
      <c r="C37" s="15" t="s">
        <v>428</v>
      </c>
      <c r="D37" s="15" t="s">
        <v>466</v>
      </c>
    </row>
    <row r="38" spans="1:4">
      <c r="A38" s="15" t="s">
        <v>496</v>
      </c>
      <c r="B38" s="15" t="s">
        <v>516</v>
      </c>
      <c r="C38" s="15"/>
      <c r="D38" s="15"/>
    </row>
    <row r="39" spans="1:4">
      <c r="B39" t="s">
        <v>536</v>
      </c>
    </row>
    <row r="40" spans="1:4">
      <c r="B40" t="s">
        <v>13</v>
      </c>
    </row>
    <row r="41" spans="1:4">
      <c r="B41" t="s">
        <v>14</v>
      </c>
    </row>
    <row r="42" spans="1:4">
      <c r="B42" t="s">
        <v>9</v>
      </c>
    </row>
    <row r="43" spans="1:4">
      <c r="B43" t="s">
        <v>10</v>
      </c>
    </row>
    <row r="44" spans="1:4">
      <c r="B44" t="s">
        <v>110</v>
      </c>
    </row>
    <row r="45" spans="1:4">
      <c r="B45" s="15" t="s">
        <v>517</v>
      </c>
    </row>
    <row r="46" spans="1:4">
      <c r="A46" s="15" t="s">
        <v>497</v>
      </c>
      <c r="B46" s="15" t="s">
        <v>518</v>
      </c>
      <c r="C46" s="15" t="s">
        <v>454</v>
      </c>
      <c r="D46" s="15" t="s">
        <v>467</v>
      </c>
    </row>
    <row r="47" spans="1:4">
      <c r="B47" t="s">
        <v>519</v>
      </c>
    </row>
    <row r="48" spans="1:4">
      <c r="B48" t="s">
        <v>96</v>
      </c>
    </row>
    <row r="49" spans="1:4">
      <c r="B49" t="s">
        <v>290</v>
      </c>
    </row>
    <row r="50" spans="1:4">
      <c r="B50" t="s">
        <v>8</v>
      </c>
    </row>
    <row r="51" spans="1:4">
      <c r="B51" t="s">
        <v>111</v>
      </c>
    </row>
    <row r="52" spans="1:4">
      <c r="C52" t="s">
        <v>171</v>
      </c>
      <c r="D52" t="s">
        <v>172</v>
      </c>
    </row>
    <row r="53" spans="1:4">
      <c r="A53" s="15" t="s">
        <v>498</v>
      </c>
      <c r="B53" s="15" t="s">
        <v>468</v>
      </c>
      <c r="C53" s="15" t="s">
        <v>428</v>
      </c>
      <c r="D53" s="15" t="s">
        <v>469</v>
      </c>
    </row>
    <row r="54" spans="1:4">
      <c r="A54" s="15"/>
      <c r="B54" s="15"/>
      <c r="C54" s="15" t="s">
        <v>428</v>
      </c>
      <c r="D54" s="15" t="s">
        <v>466</v>
      </c>
    </row>
    <row r="56" spans="1:4">
      <c r="A56" s="16" t="s">
        <v>482</v>
      </c>
      <c r="B56" s="17"/>
      <c r="C56" s="17"/>
      <c r="D56" s="17"/>
    </row>
    <row r="57" spans="1:4">
      <c r="A57" s="15" t="s">
        <v>499</v>
      </c>
      <c r="B57" s="15" t="s">
        <v>513</v>
      </c>
      <c r="C57" s="15" t="s">
        <v>428</v>
      </c>
      <c r="D57" s="15" t="s">
        <v>470</v>
      </c>
    </row>
    <row r="58" spans="1:4">
      <c r="A58" s="15" t="s">
        <v>500</v>
      </c>
      <c r="B58" s="15" t="s">
        <v>515</v>
      </c>
      <c r="C58" s="15"/>
      <c r="D58" s="15"/>
    </row>
    <row r="59" spans="1:4">
      <c r="A59" s="15" t="s">
        <v>501</v>
      </c>
      <c r="B59" s="15" t="s">
        <v>514</v>
      </c>
      <c r="C59" s="15"/>
      <c r="D59" s="15"/>
    </row>
    <row r="60" spans="1:4">
      <c r="A60" s="15" t="s">
        <v>502</v>
      </c>
      <c r="B60" s="15" t="s">
        <v>284</v>
      </c>
      <c r="C60" s="15"/>
      <c r="D60" s="15"/>
    </row>
    <row r="61" spans="1:4" ht="28.8">
      <c r="A61" s="15" t="s">
        <v>506</v>
      </c>
      <c r="B61" s="15" t="s">
        <v>512</v>
      </c>
      <c r="C61" s="15" t="s">
        <v>449</v>
      </c>
      <c r="D61" s="15" t="s">
        <v>471</v>
      </c>
    </row>
    <row r="62" spans="1:4">
      <c r="A62" s="15" t="s">
        <v>520</v>
      </c>
      <c r="B62" t="s">
        <v>62</v>
      </c>
    </row>
    <row r="63" spans="1:4">
      <c r="C63" t="s">
        <v>285</v>
      </c>
    </row>
    <row r="64" spans="1:4">
      <c r="C64" t="s">
        <v>65</v>
      </c>
      <c r="D64" t="s">
        <v>63</v>
      </c>
    </row>
    <row r="65" spans="1:4">
      <c r="C65" t="s">
        <v>107</v>
      </c>
    </row>
    <row r="66" spans="1:4">
      <c r="C66" t="s">
        <v>286</v>
      </c>
    </row>
    <row r="67" spans="1:4">
      <c r="C67" t="s">
        <v>287</v>
      </c>
    </row>
    <row r="68" spans="1:4">
      <c r="C68" t="s">
        <v>64</v>
      </c>
    </row>
    <row r="69" spans="1:4">
      <c r="C69" t="s">
        <v>66</v>
      </c>
    </row>
    <row r="70" spans="1:4">
      <c r="C70" t="s">
        <v>67</v>
      </c>
    </row>
    <row r="71" spans="1:4">
      <c r="C71" t="s">
        <v>21</v>
      </c>
    </row>
    <row r="72" spans="1:4">
      <c r="C72" t="s">
        <v>12</v>
      </c>
    </row>
    <row r="73" spans="1:4">
      <c r="C73" t="s">
        <v>6</v>
      </c>
    </row>
    <row r="74" spans="1:4">
      <c r="C74" t="s">
        <v>0</v>
      </c>
    </row>
    <row r="75" spans="1:4">
      <c r="A75" s="15" t="s">
        <v>521</v>
      </c>
      <c r="B75" s="3" t="s">
        <v>71</v>
      </c>
    </row>
    <row r="76" spans="1:4">
      <c r="B76" s="3"/>
      <c r="C76" t="s">
        <v>72</v>
      </c>
    </row>
    <row r="77" spans="1:4">
      <c r="B77" s="3"/>
      <c r="C77" s="3" t="s">
        <v>73</v>
      </c>
    </row>
    <row r="78" spans="1:4">
      <c r="B78" s="3"/>
      <c r="D78" t="s">
        <v>109</v>
      </c>
    </row>
    <row r="79" spans="1:4">
      <c r="B79" s="3"/>
      <c r="D79" t="s">
        <v>108</v>
      </c>
    </row>
    <row r="80" spans="1:4">
      <c r="B80" s="3"/>
      <c r="D80" t="s">
        <v>116</v>
      </c>
    </row>
    <row r="81" spans="1:5">
      <c r="B81" s="3"/>
    </row>
    <row r="82" spans="1:5">
      <c r="B82" s="3"/>
      <c r="C82" t="s">
        <v>111</v>
      </c>
    </row>
    <row r="83" spans="1:5">
      <c r="B83" s="3"/>
      <c r="D83" t="s">
        <v>112</v>
      </c>
      <c r="E83" t="s">
        <v>113</v>
      </c>
    </row>
    <row r="84" spans="1:5">
      <c r="B84" s="3"/>
      <c r="D84" t="s">
        <v>114</v>
      </c>
      <c r="E84" t="s">
        <v>115</v>
      </c>
    </row>
    <row r="85" spans="1:5">
      <c r="A85" s="15" t="s">
        <v>522</v>
      </c>
      <c r="B85" t="s">
        <v>11</v>
      </c>
    </row>
    <row r="86" spans="1:5">
      <c r="C86" t="s">
        <v>97</v>
      </c>
    </row>
    <row r="87" spans="1:5">
      <c r="C87" t="s">
        <v>0</v>
      </c>
    </row>
    <row r="88" spans="1:5">
      <c r="C88" t="s">
        <v>103</v>
      </c>
    </row>
    <row r="89" spans="1:5">
      <c r="C89" t="s">
        <v>102</v>
      </c>
    </row>
    <row r="90" spans="1:5">
      <c r="C90" t="s">
        <v>1</v>
      </c>
    </row>
    <row r="91" spans="1:5">
      <c r="C91" t="s">
        <v>2</v>
      </c>
    </row>
    <row r="92" spans="1:5">
      <c r="C92" t="s">
        <v>3</v>
      </c>
    </row>
    <row r="93" spans="1:5">
      <c r="C93" t="s">
        <v>57</v>
      </c>
    </row>
    <row r="94" spans="1:5">
      <c r="C94" t="s">
        <v>101</v>
      </c>
    </row>
    <row r="95" spans="1:5">
      <c r="D95" t="s">
        <v>104</v>
      </c>
    </row>
    <row r="96" spans="1:5">
      <c r="D96" t="s">
        <v>105</v>
      </c>
    </row>
    <row r="97" spans="1:5">
      <c r="A97" s="15" t="s">
        <v>523</v>
      </c>
      <c r="B97" t="s">
        <v>68</v>
      </c>
    </row>
    <row r="98" spans="1:5">
      <c r="C98" t="s">
        <v>99</v>
      </c>
    </row>
    <row r="99" spans="1:5">
      <c r="C99" s="2" t="s">
        <v>98</v>
      </c>
    </row>
    <row r="100" spans="1:5">
      <c r="C100" t="s">
        <v>94</v>
      </c>
    </row>
    <row r="101" spans="1:5">
      <c r="D101" t="s">
        <v>95</v>
      </c>
    </row>
    <row r="102" spans="1:5">
      <c r="C102" t="s">
        <v>145</v>
      </c>
    </row>
    <row r="103" spans="1:5">
      <c r="A103" s="15" t="s">
        <v>524</v>
      </c>
      <c r="B103" t="s">
        <v>28</v>
      </c>
    </row>
    <row r="104" spans="1:5">
      <c r="C104" s="3" t="s">
        <v>70</v>
      </c>
      <c r="D104" t="s">
        <v>69</v>
      </c>
    </row>
    <row r="105" spans="1:5">
      <c r="C105" t="s">
        <v>106</v>
      </c>
    </row>
    <row r="106" spans="1:5">
      <c r="C106" t="s">
        <v>23</v>
      </c>
    </row>
    <row r="107" spans="1:5">
      <c r="C107" t="s">
        <v>42</v>
      </c>
    </row>
    <row r="108" spans="1:5">
      <c r="C108" t="s">
        <v>43</v>
      </c>
    </row>
    <row r="109" spans="1:5">
      <c r="C109" t="s">
        <v>80</v>
      </c>
    </row>
    <row r="110" spans="1:5">
      <c r="D110" t="s">
        <v>81</v>
      </c>
    </row>
    <row r="111" spans="1:5">
      <c r="D111" t="s">
        <v>82</v>
      </c>
    </row>
    <row r="112" spans="1:5">
      <c r="D112" t="s">
        <v>83</v>
      </c>
      <c r="E112" t="s">
        <v>84</v>
      </c>
    </row>
    <row r="113" spans="3:5">
      <c r="D113" t="s">
        <v>85</v>
      </c>
      <c r="E113" t="s">
        <v>86</v>
      </c>
    </row>
    <row r="114" spans="3:5">
      <c r="D114" t="s">
        <v>152</v>
      </c>
      <c r="E114" t="s">
        <v>87</v>
      </c>
    </row>
    <row r="115" spans="3:5">
      <c r="D115" t="s">
        <v>151</v>
      </c>
    </row>
    <row r="116" spans="3:5">
      <c r="C116" t="s">
        <v>88</v>
      </c>
    </row>
    <row r="117" spans="3:5">
      <c r="D117" t="s">
        <v>93</v>
      </c>
    </row>
    <row r="118" spans="3:5">
      <c r="D118" t="s">
        <v>89</v>
      </c>
    </row>
    <row r="119" spans="3:5">
      <c r="D119" t="s">
        <v>90</v>
      </c>
    </row>
    <row r="120" spans="3:5">
      <c r="D120" t="s">
        <v>91</v>
      </c>
    </row>
    <row r="121" spans="3:5">
      <c r="D121" t="s">
        <v>92</v>
      </c>
    </row>
    <row r="122" spans="3:5">
      <c r="C122" t="s">
        <v>24</v>
      </c>
    </row>
    <row r="123" spans="3:5">
      <c r="D123" t="s">
        <v>25</v>
      </c>
      <c r="E123" t="s">
        <v>26</v>
      </c>
    </row>
    <row r="124" spans="3:5">
      <c r="D124" t="s">
        <v>27</v>
      </c>
      <c r="E124" t="s">
        <v>29</v>
      </c>
    </row>
    <row r="125" spans="3:5">
      <c r="D125" t="s">
        <v>30</v>
      </c>
      <c r="E125" t="s">
        <v>31</v>
      </c>
    </row>
    <row r="126" spans="3:5">
      <c r="D126" t="s">
        <v>32</v>
      </c>
      <c r="E126" t="s">
        <v>33</v>
      </c>
    </row>
    <row r="127" spans="3:5">
      <c r="D127" t="s">
        <v>34</v>
      </c>
      <c r="E127" t="s">
        <v>35</v>
      </c>
    </row>
    <row r="128" spans="3:5">
      <c r="D128" t="s">
        <v>36</v>
      </c>
      <c r="E128" t="s">
        <v>38</v>
      </c>
    </row>
    <row r="129" spans="1:5">
      <c r="D129" t="s">
        <v>37</v>
      </c>
      <c r="E129" t="s">
        <v>39</v>
      </c>
    </row>
    <row r="130" spans="1:5">
      <c r="D130" t="s">
        <v>40</v>
      </c>
      <c r="E130" t="s">
        <v>41</v>
      </c>
    </row>
    <row r="131" spans="1:5">
      <c r="D131" t="s">
        <v>44</v>
      </c>
      <c r="E131" t="s">
        <v>45</v>
      </c>
    </row>
    <row r="132" spans="1:5">
      <c r="D132" t="s">
        <v>46</v>
      </c>
      <c r="E132" t="s">
        <v>47</v>
      </c>
    </row>
    <row r="133" spans="1:5">
      <c r="C133" t="s">
        <v>48</v>
      </c>
    </row>
    <row r="134" spans="1:5">
      <c r="C134" t="s">
        <v>53</v>
      </c>
    </row>
    <row r="135" spans="1:5">
      <c r="C135" t="s">
        <v>54</v>
      </c>
    </row>
    <row r="136" spans="1:5">
      <c r="C136" t="s">
        <v>289</v>
      </c>
    </row>
    <row r="137" spans="1:5">
      <c r="A137" s="15" t="s">
        <v>525</v>
      </c>
      <c r="B137" t="s">
        <v>59</v>
      </c>
    </row>
    <row r="138" spans="1:5">
      <c r="C138" t="s">
        <v>4</v>
      </c>
    </row>
    <row r="139" spans="1:5">
      <c r="C139" t="s">
        <v>5</v>
      </c>
    </row>
    <row r="140" spans="1:5">
      <c r="C140" t="s">
        <v>51</v>
      </c>
    </row>
    <row r="141" spans="1:5">
      <c r="C141" t="s">
        <v>52</v>
      </c>
    </row>
    <row r="142" spans="1:5">
      <c r="C142" t="s">
        <v>55</v>
      </c>
    </row>
    <row r="143" spans="1:5">
      <c r="C143" s="2" t="s">
        <v>100</v>
      </c>
    </row>
    <row r="144" spans="1:5">
      <c r="C144" t="s">
        <v>161</v>
      </c>
    </row>
    <row r="145" spans="1:5">
      <c r="D145" t="s">
        <v>155</v>
      </c>
      <c r="E145" t="s">
        <v>157</v>
      </c>
    </row>
    <row r="146" spans="1:5">
      <c r="D146" t="s">
        <v>158</v>
      </c>
      <c r="E146" t="s">
        <v>159</v>
      </c>
    </row>
    <row r="147" spans="1:5">
      <c r="D147" t="s">
        <v>160</v>
      </c>
    </row>
    <row r="148" spans="1:5">
      <c r="C148" t="s">
        <v>164</v>
      </c>
    </row>
    <row r="149" spans="1:5">
      <c r="C149" t="s">
        <v>165</v>
      </c>
    </row>
    <row r="150" spans="1:5">
      <c r="A150" s="15" t="s">
        <v>526</v>
      </c>
      <c r="B150" t="s">
        <v>58</v>
      </c>
    </row>
    <row r="151" spans="1:5">
      <c r="C151" t="s">
        <v>78</v>
      </c>
    </row>
    <row r="152" spans="1:5">
      <c r="C152" t="s">
        <v>156</v>
      </c>
    </row>
    <row r="154" spans="1:5">
      <c r="D154" t="s">
        <v>155</v>
      </c>
      <c r="E154" t="s">
        <v>169</v>
      </c>
    </row>
    <row r="155" spans="1:5">
      <c r="D155" t="s">
        <v>158</v>
      </c>
      <c r="E155" t="s">
        <v>168</v>
      </c>
    </row>
    <row r="156" spans="1:5">
      <c r="D156" t="s">
        <v>160</v>
      </c>
      <c r="E156" t="s">
        <v>170</v>
      </c>
    </row>
    <row r="157" spans="1:5">
      <c r="C157" t="s">
        <v>74</v>
      </c>
    </row>
    <row r="158" spans="1:5">
      <c r="D158" t="s">
        <v>75</v>
      </c>
    </row>
    <row r="159" spans="1:5">
      <c r="D159" t="s">
        <v>82</v>
      </c>
    </row>
    <row r="160" spans="1:5">
      <c r="D160" t="s">
        <v>146</v>
      </c>
    </row>
    <row r="161" spans="3:5">
      <c r="D161" t="s">
        <v>76</v>
      </c>
    </row>
    <row r="162" spans="3:5">
      <c r="D162" t="s">
        <v>77</v>
      </c>
    </row>
    <row r="163" spans="3:5">
      <c r="D163" t="s">
        <v>83</v>
      </c>
      <c r="E163" t="s">
        <v>147</v>
      </c>
    </row>
    <row r="164" spans="3:5">
      <c r="C164" t="s">
        <v>148</v>
      </c>
    </row>
    <row r="165" spans="3:5">
      <c r="D165" t="s">
        <v>149</v>
      </c>
      <c r="E165" t="s">
        <v>150</v>
      </c>
    </row>
    <row r="166" spans="3:5">
      <c r="D166" t="s">
        <v>163</v>
      </c>
      <c r="E166" t="s">
        <v>167</v>
      </c>
    </row>
    <row r="167" spans="3:5">
      <c r="D167" t="s">
        <v>166</v>
      </c>
      <c r="E167" t="s">
        <v>162</v>
      </c>
    </row>
    <row r="168" spans="3:5">
      <c r="C168" t="s">
        <v>60</v>
      </c>
    </row>
    <row r="169" spans="3:5">
      <c r="C169" t="s">
        <v>61</v>
      </c>
    </row>
    <row r="170" spans="3:5">
      <c r="C170" t="s">
        <v>7</v>
      </c>
    </row>
    <row r="171" spans="3:5">
      <c r="C171" t="s">
        <v>49</v>
      </c>
    </row>
    <row r="172" spans="3:5">
      <c r="C172" t="s">
        <v>50</v>
      </c>
    </row>
    <row r="173" spans="3:5">
      <c r="C173" t="s">
        <v>56</v>
      </c>
    </row>
    <row r="174" spans="3:5">
      <c r="D174" t="s">
        <v>79</v>
      </c>
    </row>
    <row r="175" spans="3:5">
      <c r="C175" t="s">
        <v>288</v>
      </c>
    </row>
    <row r="177" spans="1:4">
      <c r="A177" s="15" t="s">
        <v>501</v>
      </c>
      <c r="B177" s="15" t="s">
        <v>472</v>
      </c>
      <c r="C177" s="15" t="s">
        <v>454</v>
      </c>
      <c r="D177" s="15" t="s">
        <v>473</v>
      </c>
    </row>
    <row r="178" spans="1:4">
      <c r="A178" s="15" t="s">
        <v>502</v>
      </c>
      <c r="B178" s="15" t="s">
        <v>474</v>
      </c>
      <c r="C178" s="15" t="s">
        <v>449</v>
      </c>
      <c r="D178" s="15" t="s">
        <v>475</v>
      </c>
    </row>
    <row r="179" spans="1:4">
      <c r="A179" s="15" t="s">
        <v>506</v>
      </c>
      <c r="B179" t="s">
        <v>15</v>
      </c>
      <c r="C179" s="15" t="s">
        <v>454</v>
      </c>
      <c r="D179" s="15" t="s">
        <v>473</v>
      </c>
    </row>
    <row r="180" spans="1:4">
      <c r="A180" s="15" t="s">
        <v>507</v>
      </c>
      <c r="B180" t="s">
        <v>16</v>
      </c>
      <c r="C180" s="15" t="s">
        <v>449</v>
      </c>
      <c r="D180" s="15" t="s">
        <v>475</v>
      </c>
    </row>
    <row r="182" spans="1:4">
      <c r="A182" s="3" t="s">
        <v>312</v>
      </c>
    </row>
    <row r="183" spans="1:4">
      <c r="A183" s="10" t="s">
        <v>476</v>
      </c>
    </row>
    <row r="184" spans="1:4">
      <c r="A184" s="10" t="s">
        <v>477</v>
      </c>
    </row>
    <row r="185" spans="1:4">
      <c r="A185" s="10" t="s">
        <v>478</v>
      </c>
    </row>
    <row r="186" spans="1:4">
      <c r="A186" s="10" t="s">
        <v>479</v>
      </c>
    </row>
  </sheetData>
  <phoneticPr fontId="10" type="noConversion"/>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9779C4-2161-44CD-B06D-F956009E552C}">
  <sheetPr codeName="Sheet3"/>
  <dimension ref="A1:A37"/>
  <sheetViews>
    <sheetView workbookViewId="0">
      <selection activeCell="A2" sqref="A2"/>
    </sheetView>
  </sheetViews>
  <sheetFormatPr defaultRowHeight="14.4"/>
  <cols>
    <col min="1" max="1" width="83.88671875" customWidth="1"/>
  </cols>
  <sheetData>
    <row r="1" spans="1:1" ht="144">
      <c r="A1" s="4" t="s">
        <v>153</v>
      </c>
    </row>
    <row r="3" spans="1:1">
      <c r="A3" t="s">
        <v>117</v>
      </c>
    </row>
    <row r="4" spans="1:1">
      <c r="A4" t="s">
        <v>118</v>
      </c>
    </row>
    <row r="5" spans="1:1">
      <c r="A5" t="s">
        <v>119</v>
      </c>
    </row>
    <row r="6" spans="1:1">
      <c r="A6" t="s">
        <v>120</v>
      </c>
    </row>
    <row r="7" spans="1:1">
      <c r="A7" t="s">
        <v>121</v>
      </c>
    </row>
    <row r="8" spans="1:1">
      <c r="A8" t="s">
        <v>122</v>
      </c>
    </row>
    <row r="9" spans="1:1">
      <c r="A9" t="s">
        <v>123</v>
      </c>
    </row>
    <row r="10" spans="1:1">
      <c r="A10" t="s">
        <v>124</v>
      </c>
    </row>
    <row r="11" spans="1:1">
      <c r="A11" t="s">
        <v>125</v>
      </c>
    </row>
    <row r="13" spans="1:1">
      <c r="A13" t="s">
        <v>126</v>
      </c>
    </row>
    <row r="14" spans="1:1">
      <c r="A14" t="s">
        <v>127</v>
      </c>
    </row>
    <row r="15" spans="1:1">
      <c r="A15" t="s">
        <v>128</v>
      </c>
    </row>
    <row r="16" spans="1:1">
      <c r="A16" t="s">
        <v>129</v>
      </c>
    </row>
    <row r="17" spans="1:1">
      <c r="A17" t="s">
        <v>130</v>
      </c>
    </row>
    <row r="18" spans="1:1">
      <c r="A18" t="s">
        <v>131</v>
      </c>
    </row>
    <row r="19" spans="1:1">
      <c r="A19" t="s">
        <v>132</v>
      </c>
    </row>
    <row r="20" spans="1:1">
      <c r="A20" t="s">
        <v>133</v>
      </c>
    </row>
    <row r="21" spans="1:1">
      <c r="A21" t="s">
        <v>125</v>
      </c>
    </row>
    <row r="23" spans="1:1">
      <c r="A23" t="s">
        <v>134</v>
      </c>
    </row>
    <row r="24" spans="1:1">
      <c r="A24" t="s">
        <v>127</v>
      </c>
    </row>
    <row r="25" spans="1:1">
      <c r="A25" t="s">
        <v>135</v>
      </c>
    </row>
    <row r="26" spans="1:1">
      <c r="A26" t="s">
        <v>136</v>
      </c>
    </row>
    <row r="27" spans="1:1">
      <c r="A27" t="s">
        <v>137</v>
      </c>
    </row>
    <row r="28" spans="1:1">
      <c r="A28" t="s">
        <v>138</v>
      </c>
    </row>
    <row r="29" spans="1:1">
      <c r="A29" t="s">
        <v>139</v>
      </c>
    </row>
    <row r="30" spans="1:1">
      <c r="A30" t="s">
        <v>140</v>
      </c>
    </row>
    <row r="31" spans="1:1">
      <c r="A31" t="s">
        <v>141</v>
      </c>
    </row>
    <row r="32" spans="1:1">
      <c r="A32" t="s">
        <v>142</v>
      </c>
    </row>
    <row r="33" spans="1:1">
      <c r="A33" t="s">
        <v>133</v>
      </c>
    </row>
    <row r="34" spans="1:1">
      <c r="A34" t="s">
        <v>125</v>
      </c>
    </row>
    <row r="36" spans="1:1">
      <c r="A36" t="s">
        <v>143</v>
      </c>
    </row>
    <row r="37" spans="1:1">
      <c r="A37" t="s">
        <v>144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1D22DC-C803-47DB-885E-09B11497E6FD}">
  <sheetPr codeName="Sheet4"/>
  <dimension ref="A1"/>
  <sheetViews>
    <sheetView workbookViewId="0">
      <selection activeCell="A7" sqref="A7"/>
    </sheetView>
  </sheetViews>
  <sheetFormatPr defaultRowHeight="14.4"/>
  <cols>
    <col min="1" max="1" width="77.44140625" customWidth="1"/>
  </cols>
  <sheetData>
    <row r="1" spans="1:1" ht="86.4">
      <c r="A1" s="4" t="s">
        <v>154</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1B758D-E2C2-4BA1-BDF8-78D8F04BBE51}">
  <sheetPr codeName="Sheet5"/>
  <dimension ref="A1:A44"/>
  <sheetViews>
    <sheetView workbookViewId="0">
      <selection activeCell="C5" sqref="C5"/>
    </sheetView>
  </sheetViews>
  <sheetFormatPr defaultRowHeight="14.4"/>
  <cols>
    <col min="1" max="1" width="89" customWidth="1"/>
  </cols>
  <sheetData>
    <row r="1" spans="1:1" ht="28.8">
      <c r="A1" s="4" t="s">
        <v>185</v>
      </c>
    </row>
    <row r="2" spans="1:1" ht="115.2">
      <c r="A2" s="5" t="s">
        <v>220</v>
      </c>
    </row>
    <row r="4" spans="1:1">
      <c r="A4" t="s">
        <v>186</v>
      </c>
    </row>
    <row r="5" spans="1:1">
      <c r="A5" t="s">
        <v>187</v>
      </c>
    </row>
    <row r="6" spans="1:1">
      <c r="A6" t="s">
        <v>188</v>
      </c>
    </row>
    <row r="7" spans="1:1">
      <c r="A7" t="s">
        <v>189</v>
      </c>
    </row>
    <row r="8" spans="1:1">
      <c r="A8" t="s">
        <v>190</v>
      </c>
    </row>
    <row r="9" spans="1:1">
      <c r="A9" t="s">
        <v>191</v>
      </c>
    </row>
    <row r="10" spans="1:1">
      <c r="A10" t="s">
        <v>192</v>
      </c>
    </row>
    <row r="11" spans="1:1">
      <c r="A11" t="s">
        <v>193</v>
      </c>
    </row>
    <row r="12" spans="1:1">
      <c r="A12" t="s">
        <v>125</v>
      </c>
    </row>
    <row r="13" spans="1:1">
      <c r="A13" t="s">
        <v>194</v>
      </c>
    </row>
    <row r="14" spans="1:1">
      <c r="A14" t="s">
        <v>195</v>
      </c>
    </row>
    <row r="15" spans="1:1">
      <c r="A15" t="s">
        <v>196</v>
      </c>
    </row>
    <row r="16" spans="1:1">
      <c r="A16" t="s">
        <v>197</v>
      </c>
    </row>
    <row r="17" spans="1:1">
      <c r="A17" t="s">
        <v>198</v>
      </c>
    </row>
    <row r="18" spans="1:1">
      <c r="A18" t="s">
        <v>194</v>
      </c>
    </row>
    <row r="19" spans="1:1">
      <c r="A19" t="s">
        <v>199</v>
      </c>
    </row>
    <row r="20" spans="1:1">
      <c r="A20" t="s">
        <v>200</v>
      </c>
    </row>
    <row r="21" spans="1:1">
      <c r="A21" t="s">
        <v>201</v>
      </c>
    </row>
    <row r="22" spans="1:1">
      <c r="A22" t="s">
        <v>202</v>
      </c>
    </row>
    <row r="23" spans="1:1">
      <c r="A23" t="s">
        <v>203</v>
      </c>
    </row>
    <row r="24" spans="1:1">
      <c r="A24" t="s">
        <v>204</v>
      </c>
    </row>
    <row r="25" spans="1:1">
      <c r="A25" t="s">
        <v>205</v>
      </c>
    </row>
    <row r="26" spans="1:1">
      <c r="A26" t="s">
        <v>200</v>
      </c>
    </row>
    <row r="27" spans="1:1">
      <c r="A27" t="s">
        <v>206</v>
      </c>
    </row>
    <row r="28" spans="1:1">
      <c r="A28" t="s">
        <v>207</v>
      </c>
    </row>
    <row r="29" spans="1:1">
      <c r="A29" t="s">
        <v>208</v>
      </c>
    </row>
    <row r="30" spans="1:1">
      <c r="A30" t="s">
        <v>209</v>
      </c>
    </row>
    <row r="31" spans="1:1">
      <c r="A31" t="s">
        <v>205</v>
      </c>
    </row>
    <row r="32" spans="1:1">
      <c r="A32" t="s">
        <v>200</v>
      </c>
    </row>
    <row r="33" spans="1:1">
      <c r="A33" t="s">
        <v>210</v>
      </c>
    </row>
    <row r="34" spans="1:1">
      <c r="A34" t="s">
        <v>211</v>
      </c>
    </row>
    <row r="35" spans="1:1">
      <c r="A35" t="s">
        <v>212</v>
      </c>
    </row>
    <row r="36" spans="1:1">
      <c r="A36" t="s">
        <v>125</v>
      </c>
    </row>
    <row r="37" spans="1:1">
      <c r="A37" t="s">
        <v>213</v>
      </c>
    </row>
    <row r="38" spans="1:1">
      <c r="A38" t="s">
        <v>214</v>
      </c>
    </row>
    <row r="39" spans="1:1">
      <c r="A39" t="s">
        <v>215</v>
      </c>
    </row>
    <row r="40" spans="1:1">
      <c r="A40" t="s">
        <v>216</v>
      </c>
    </row>
    <row r="41" spans="1:1">
      <c r="A41" t="s">
        <v>217</v>
      </c>
    </row>
    <row r="42" spans="1:1">
      <c r="A42" t="s">
        <v>218</v>
      </c>
    </row>
    <row r="43" spans="1:1">
      <c r="A43" t="s">
        <v>219</v>
      </c>
    </row>
    <row r="44" spans="1:1">
      <c r="A44" t="s">
        <v>144</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2493D4-98BD-4B00-9CDA-6616E54DDFF2}">
  <sheetPr codeName="Sheet6"/>
  <dimension ref="A1:A8"/>
  <sheetViews>
    <sheetView workbookViewId="0">
      <selection activeCell="A2" sqref="A2"/>
    </sheetView>
  </sheetViews>
  <sheetFormatPr defaultRowHeight="14.4"/>
  <cols>
    <col min="1" max="1" width="89" customWidth="1"/>
  </cols>
  <sheetData>
    <row r="1" spans="1:1" ht="28.8">
      <c r="A1" s="4" t="s">
        <v>221</v>
      </c>
    </row>
    <row r="2" spans="1:1" ht="90" customHeight="1">
      <c r="A2" s="4" t="s">
        <v>222</v>
      </c>
    </row>
    <row r="4" spans="1:1">
      <c r="A4" t="s">
        <v>223</v>
      </c>
    </row>
    <row r="5" spans="1:1">
      <c r="A5" t="s">
        <v>224</v>
      </c>
    </row>
    <row r="6" spans="1:1">
      <c r="A6" t="s">
        <v>225</v>
      </c>
    </row>
    <row r="7" spans="1:1">
      <c r="A7" t="s">
        <v>226</v>
      </c>
    </row>
    <row r="8" spans="1:1">
      <c r="A8" t="s">
        <v>227</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F46578-8A90-4DBF-88C0-1527890AB6A6}">
  <sheetPr codeName="Sheet7"/>
  <dimension ref="A1:A9"/>
  <sheetViews>
    <sheetView workbookViewId="0">
      <selection activeCell="A2" sqref="A2"/>
    </sheetView>
  </sheetViews>
  <sheetFormatPr defaultRowHeight="14.4"/>
  <cols>
    <col min="1" max="1" width="89" customWidth="1"/>
  </cols>
  <sheetData>
    <row r="1" spans="1:1" ht="28.8">
      <c r="A1" s="4" t="s">
        <v>221</v>
      </c>
    </row>
    <row r="2" spans="1:1" ht="90" customHeight="1">
      <c r="A2" s="4" t="s">
        <v>233</v>
      </c>
    </row>
    <row r="4" spans="1:1">
      <c r="A4" t="s">
        <v>228</v>
      </c>
    </row>
    <row r="5" spans="1:1">
      <c r="A5" t="s">
        <v>229</v>
      </c>
    </row>
    <row r="6" spans="1:1">
      <c r="A6" t="s">
        <v>230</v>
      </c>
    </row>
    <row r="7" spans="1:1">
      <c r="A7" t="s">
        <v>231</v>
      </c>
    </row>
    <row r="8" spans="1:1">
      <c r="A8" t="s">
        <v>232</v>
      </c>
    </row>
    <row r="9" spans="1:1">
      <c r="A9" t="s">
        <v>144</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8C204F-3982-4A68-8271-F9F7EC6778E8}">
  <dimension ref="A1:A61"/>
  <sheetViews>
    <sheetView topLeftCell="A10" workbookViewId="0">
      <selection activeCell="C11" sqref="C11"/>
    </sheetView>
  </sheetViews>
  <sheetFormatPr defaultRowHeight="14.4"/>
  <sheetData>
    <row r="1" spans="1:1">
      <c r="A1" t="s">
        <v>283</v>
      </c>
    </row>
    <row r="3" spans="1:1">
      <c r="A3" t="s">
        <v>238</v>
      </c>
    </row>
    <row r="4" spans="1:1">
      <c r="A4" t="s">
        <v>239</v>
      </c>
    </row>
    <row r="5" spans="1:1">
      <c r="A5" t="s">
        <v>240</v>
      </c>
    </row>
    <row r="6" spans="1:1">
      <c r="A6" t="s">
        <v>241</v>
      </c>
    </row>
    <row r="7" spans="1:1">
      <c r="A7" t="s">
        <v>242</v>
      </c>
    </row>
    <row r="8" spans="1:1">
      <c r="A8" t="s">
        <v>243</v>
      </c>
    </row>
    <row r="9" spans="1:1">
      <c r="A9" t="s">
        <v>244</v>
      </c>
    </row>
    <row r="10" spans="1:1">
      <c r="A10" t="s">
        <v>245</v>
      </c>
    </row>
    <row r="11" spans="1:1">
      <c r="A11" t="s">
        <v>246</v>
      </c>
    </row>
    <row r="13" spans="1:1">
      <c r="A13" t="s">
        <v>247</v>
      </c>
    </row>
    <row r="14" spans="1:1">
      <c r="A14" t="s">
        <v>248</v>
      </c>
    </row>
    <row r="15" spans="1:1">
      <c r="A15" t="s">
        <v>249</v>
      </c>
    </row>
    <row r="16" spans="1:1">
      <c r="A16" t="s">
        <v>144</v>
      </c>
    </row>
    <row r="18" spans="1:1">
      <c r="A18" t="s">
        <v>250</v>
      </c>
    </row>
    <row r="19" spans="1:1">
      <c r="A19" t="s">
        <v>251</v>
      </c>
    </row>
    <row r="20" spans="1:1">
      <c r="A20" t="s">
        <v>240</v>
      </c>
    </row>
    <row r="21" spans="1:1">
      <c r="A21" t="s">
        <v>252</v>
      </c>
    </row>
    <row r="22" spans="1:1">
      <c r="A22" t="s">
        <v>253</v>
      </c>
    </row>
    <row r="23" spans="1:1">
      <c r="A23" t="s">
        <v>254</v>
      </c>
    </row>
    <row r="24" spans="1:1">
      <c r="A24" t="s">
        <v>255</v>
      </c>
    </row>
    <row r="26" spans="1:1">
      <c r="A26" t="s">
        <v>256</v>
      </c>
    </row>
    <row r="27" spans="1:1">
      <c r="A27" t="s">
        <v>257</v>
      </c>
    </row>
    <row r="28" spans="1:1">
      <c r="A28" t="s">
        <v>258</v>
      </c>
    </row>
    <row r="29" spans="1:1">
      <c r="A29" t="s">
        <v>259</v>
      </c>
    </row>
    <row r="30" spans="1:1">
      <c r="A30" t="s">
        <v>125</v>
      </c>
    </row>
    <row r="31" spans="1:1">
      <c r="A31" t="s">
        <v>260</v>
      </c>
    </row>
    <row r="32" spans="1:1">
      <c r="A32" t="s">
        <v>261</v>
      </c>
    </row>
    <row r="33" spans="1:1">
      <c r="A33" t="s">
        <v>262</v>
      </c>
    </row>
    <row r="34" spans="1:1">
      <c r="A34" t="s">
        <v>144</v>
      </c>
    </row>
    <row r="36" spans="1:1">
      <c r="A36" t="s">
        <v>263</v>
      </c>
    </row>
    <row r="37" spans="1:1">
      <c r="A37" t="s">
        <v>264</v>
      </c>
    </row>
    <row r="38" spans="1:1">
      <c r="A38" t="s">
        <v>265</v>
      </c>
    </row>
    <row r="39" spans="1:1">
      <c r="A39" t="s">
        <v>266</v>
      </c>
    </row>
    <row r="40" spans="1:1">
      <c r="A40" t="s">
        <v>267</v>
      </c>
    </row>
    <row r="41" spans="1:1">
      <c r="A41" t="s">
        <v>268</v>
      </c>
    </row>
    <row r="43" spans="1:1">
      <c r="A43" t="s">
        <v>269</v>
      </c>
    </row>
    <row r="44" spans="1:1">
      <c r="A44" t="s">
        <v>270</v>
      </c>
    </row>
    <row r="45" spans="1:1">
      <c r="A45" t="s">
        <v>271</v>
      </c>
    </row>
    <row r="46" spans="1:1">
      <c r="A46" t="s">
        <v>125</v>
      </c>
    </row>
    <row r="47" spans="1:1">
      <c r="A47" t="s">
        <v>272</v>
      </c>
    </row>
    <row r="48" spans="1:1">
      <c r="A48" t="s">
        <v>273</v>
      </c>
    </row>
    <row r="49" spans="1:1">
      <c r="A49" t="s">
        <v>274</v>
      </c>
    </row>
    <row r="50" spans="1:1">
      <c r="A50" t="s">
        <v>275</v>
      </c>
    </row>
    <row r="51" spans="1:1">
      <c r="A51" t="s">
        <v>276</v>
      </c>
    </row>
    <row r="52" spans="1:1">
      <c r="A52" t="s">
        <v>125</v>
      </c>
    </row>
    <row r="53" spans="1:1">
      <c r="A53" t="s">
        <v>277</v>
      </c>
    </row>
    <row r="54" spans="1:1">
      <c r="A54" t="s">
        <v>278</v>
      </c>
    </row>
    <row r="55" spans="1:1">
      <c r="A55" t="s">
        <v>279</v>
      </c>
    </row>
    <row r="56" spans="1:1">
      <c r="A56" t="s">
        <v>125</v>
      </c>
    </row>
    <row r="57" spans="1:1">
      <c r="A57" t="s">
        <v>280</v>
      </c>
    </row>
    <row r="58" spans="1:1">
      <c r="A58" t="s">
        <v>281</v>
      </c>
    </row>
    <row r="59" spans="1:1">
      <c r="A59" t="s">
        <v>282</v>
      </c>
    </row>
    <row r="60" spans="1:1">
      <c r="A60" t="s">
        <v>125</v>
      </c>
    </row>
    <row r="61" spans="1:1">
      <c r="A61" t="s">
        <v>144</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CFC023-D64E-4E58-ADDE-E7BA8D3CCB31}">
  <dimension ref="A2:C4"/>
  <sheetViews>
    <sheetView workbookViewId="0">
      <selection activeCell="A3" sqref="A3:A4"/>
    </sheetView>
  </sheetViews>
  <sheetFormatPr defaultRowHeight="14.4"/>
  <cols>
    <col min="2" max="2" width="17.5546875" bestFit="1" customWidth="1"/>
  </cols>
  <sheetData>
    <row r="2" spans="1:3">
      <c r="A2" t="s">
        <v>307</v>
      </c>
      <c r="C2" t="s">
        <v>308</v>
      </c>
    </row>
    <row r="3" spans="1:3">
      <c r="A3" t="s">
        <v>310</v>
      </c>
      <c r="C3" t="s">
        <v>309</v>
      </c>
    </row>
    <row r="4" spans="1:3">
      <c r="A4" t="s">
        <v>378</v>
      </c>
      <c r="B4" t="s">
        <v>377</v>
      </c>
      <c r="C4" t="s">
        <v>376</v>
      </c>
    </row>
  </sheetData>
  <phoneticPr fontId="10"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Documents List</vt:lpstr>
      <vt:lpstr>Mission-Value Statement</vt:lpstr>
      <vt:lpstr>StakeholderAnalysis</vt:lpstr>
      <vt:lpstr>Stakeholder Need</vt:lpstr>
      <vt:lpstr>RTVM</vt:lpstr>
      <vt:lpstr>Phase 1 - Tick_Based_PseudoCode</vt:lpstr>
      <vt:lpstr>Phase 2 - Event_Based_PseudoCod</vt:lpstr>
      <vt:lpstr>Sample Configuration File</vt:lpstr>
      <vt:lpstr>Sample Output File</vt:lpstr>
      <vt:lpstr>Sample Report File</vt:lpstr>
      <vt:lpstr>C# Scaffolding</vt:lpstr>
      <vt:lpstr>Sources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Kyle Simmons</dc:creator>
  <cp:lastModifiedBy>Kyle Simmons</cp:lastModifiedBy>
  <dcterms:created xsi:type="dcterms:W3CDTF">2025-12-07T00:31:35Z</dcterms:created>
  <dcterms:modified xsi:type="dcterms:W3CDTF">2026-01-11T20:17:42Z</dcterms:modified>
</cp:coreProperties>
</file>